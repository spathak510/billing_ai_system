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0" activeTab="2" autoFilterDateGrouping="1"/>
  </bookViews>
  <sheets>
    <sheet name="Recharge Form" sheetId="1" state="visible" r:id="rId1"/>
    <sheet name="Multiple Hotels" sheetId="2" state="visible" r:id="rId2"/>
    <sheet name="upload sheet" sheetId="3" state="visible" r:id="rId3"/>
    <sheet name="Asia Pac Policy" sheetId="4" state="visible" r:id="rId4"/>
    <sheet name="Global Policy" sheetId="5" state="visible" r:id="rId5"/>
  </sheets>
  <externalReferences>
    <externalReference r:id="rId6"/>
    <externalReference r:id="rId7"/>
    <externalReference r:id="rId8"/>
  </externalReferences>
  <definedNames/>
  <calcPr calcId="191029" fullCalcOnLoad="1"/>
</workbook>
</file>

<file path=xl/styles.xml><?xml version="1.0" encoding="utf-8"?>
<styleSheet xmlns="http://schemas.openxmlformats.org/spreadsheetml/2006/main">
  <numFmts count="2">
    <numFmt numFmtId="164" formatCode="[$-409]d\-mmm\-yy;@"/>
    <numFmt numFmtId="165" formatCode="mm/dd/yy"/>
  </numFmts>
  <fonts count="33">
    <font>
      <name val="Aptos Narrow"/>
      <family val="2"/>
      <color theme="1"/>
      <sz val="11"/>
      <scheme val="minor"/>
    </font>
    <font>
      <name val="Aptos Narrow"/>
      <family val="2"/>
      <color theme="1"/>
      <sz val="11"/>
      <scheme val="minor"/>
    </font>
    <font>
      <name val="Comic Sans MS"/>
      <family val="4"/>
      <sz val="10"/>
    </font>
    <font>
      <name val="Comic Sans MS"/>
      <family val="4"/>
      <b val="1"/>
      <sz val="16"/>
    </font>
    <font>
      <name val="Comic Sans MS"/>
      <family val="4"/>
      <b val="1"/>
      <i val="1"/>
      <sz val="12"/>
    </font>
    <font>
      <name val="Comic Sans MS"/>
      <family val="4"/>
      <sz val="12"/>
    </font>
    <font>
      <name val="Comic Sans MS"/>
      <family val="4"/>
      <b val="1"/>
      <sz val="12"/>
      <u val="single"/>
    </font>
    <font>
      <name val="Comic Sans MS"/>
      <family val="4"/>
      <b val="1"/>
      <sz val="12"/>
    </font>
    <font>
      <name val="Comic Sans MS"/>
      <family val="4"/>
      <sz val="12"/>
      <u val="single"/>
    </font>
    <font>
      <name val="Webdings"/>
      <charset val="2"/>
      <family val="1"/>
      <sz val="12"/>
    </font>
    <font>
      <name val="Comic Sans MS"/>
      <family val="4"/>
      <i val="1"/>
      <sz val="12"/>
    </font>
    <font>
      <name val="Comic Sans MS"/>
      <family val="4"/>
      <sz val="10"/>
      <u val="single"/>
    </font>
    <font>
      <name val="Arial"/>
      <family val="2"/>
      <sz val="10"/>
    </font>
    <font>
      <name val="Arial"/>
      <family val="2"/>
      <sz val="12"/>
    </font>
    <font>
      <name val="Arial"/>
      <family val="2"/>
      <b val="1"/>
      <sz val="12"/>
    </font>
    <font>
      <name val="Arial"/>
      <family val="2"/>
      <b val="1"/>
      <i val="1"/>
      <sz val="12"/>
    </font>
    <font>
      <name val="Arial"/>
      <family val="2"/>
      <color indexed="63"/>
      <sz val="12"/>
    </font>
    <font>
      <name val="Arial"/>
      <family val="2"/>
      <b val="1"/>
      <color rgb="FF333300"/>
      <sz val="16"/>
    </font>
    <font>
      <name val="Arial"/>
      <family val="2"/>
      <b val="1"/>
      <sz val="10"/>
    </font>
    <font>
      <name val="Book Antiqua"/>
      <family val="1"/>
      <b val="1"/>
      <color indexed="12"/>
      <sz val="18"/>
    </font>
    <font>
      <name val="Book Antiqua"/>
      <family val="1"/>
      <b val="1"/>
      <color indexed="12"/>
      <sz val="14"/>
    </font>
    <font>
      <name val="Arial"/>
      <family val="2"/>
      <b val="1"/>
      <sz val="16"/>
    </font>
    <font>
      <name val="Arial"/>
      <family val="2"/>
      <b val="1"/>
      <color indexed="8"/>
      <sz val="12"/>
    </font>
    <font>
      <name val="Arial"/>
      <family val="2"/>
      <b val="1"/>
      <color indexed="10"/>
      <sz val="12"/>
    </font>
    <font>
      <name val="Arial"/>
      <family val="2"/>
      <b val="1"/>
      <sz val="14"/>
    </font>
    <font>
      <name val="Arial"/>
      <family val="2"/>
      <b val="1"/>
      <color indexed="9"/>
      <sz val="11"/>
    </font>
    <font>
      <name val="Arial"/>
      <family val="2"/>
      <b val="1"/>
      <sz val="11"/>
    </font>
    <font>
      <name val="Arial"/>
      <family val="2"/>
      <sz val="8"/>
    </font>
    <font>
      <name val="Arial"/>
      <family val="2"/>
      <b val="1"/>
      <sz val="8"/>
    </font>
    <font>
      <name val="Aptos Narrow"/>
      <family val="2"/>
      <sz val="10.5"/>
      <scheme val="minor"/>
    </font>
    <font>
      <name val="Arial"/>
      <family val="2"/>
      <b val="1"/>
      <sz val="12"/>
      <u val="single"/>
    </font>
    <font>
      <name val="Arial"/>
      <family val="2"/>
      <b val="1"/>
      <sz val="8"/>
      <u val="single"/>
    </font>
    <font>
      <name val="Arial"/>
      <family val="2"/>
      <sz val="14"/>
    </font>
  </fonts>
  <fills count="10">
    <fill>
      <patternFill/>
    </fill>
    <fill>
      <patternFill patternType="gray125"/>
    </fill>
    <fill>
      <patternFill patternType="solid">
        <fgColor indexed="9"/>
        <bgColor indexed="64"/>
      </patternFill>
    </fill>
    <fill>
      <patternFill patternType="solid">
        <fgColor indexed="41"/>
        <bgColor indexed="64"/>
      </patternFill>
    </fill>
    <fill>
      <patternFill patternType="solid">
        <fgColor indexed="46"/>
        <bgColor indexed="64"/>
      </patternFill>
    </fill>
    <fill>
      <patternFill patternType="solid">
        <fgColor indexed="42"/>
        <bgColor indexed="64"/>
      </patternFill>
    </fill>
    <fill>
      <patternFill patternType="solid">
        <fgColor indexed="44"/>
        <bgColor indexed="64"/>
      </patternFill>
    </fill>
    <fill>
      <patternFill patternType="solid">
        <fgColor indexed="43"/>
        <bgColor indexed="64"/>
      </patternFill>
    </fill>
    <fill>
      <patternFill patternType="solid">
        <fgColor indexed="8"/>
        <bgColor indexed="64"/>
      </patternFill>
    </fill>
    <fill>
      <patternFill patternType="solid">
        <fgColor rgb="FFFFFF99"/>
        <bgColor indexed="64"/>
      </patternFill>
    </fill>
  </fills>
  <borders count="42">
    <border>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thin">
        <color indexed="64"/>
      </bottom>
      <diagonal/>
    </border>
    <border>
      <left/>
      <right/>
      <top/>
      <bottom style="thin">
        <color indexed="64"/>
      </bottom>
      <diagonal/>
    </border>
    <border>
      <left/>
      <right style="double">
        <color indexed="64"/>
      </right>
      <top/>
      <bottom style="thin">
        <color indexed="64"/>
      </bottom>
      <diagonal/>
    </border>
    <border>
      <left style="double">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style="thin">
        <color indexed="64"/>
      </right>
      <top style="thin">
        <color indexed="64"/>
      </top>
      <bottom/>
      <diagonal/>
    </border>
    <border>
      <left style="double">
        <color indexed="64"/>
      </left>
      <right style="thin">
        <color indexed="64"/>
      </right>
      <top/>
      <bottom style="double">
        <color indexed="64"/>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style="thin">
        <color indexed="64"/>
      </left>
      <right style="double">
        <color indexed="64"/>
      </right>
      <top/>
      <bottom style="double">
        <color indexed="64"/>
      </bottom>
      <diagonal/>
    </border>
    <border>
      <left style="thin">
        <color indexed="64"/>
      </left>
      <right/>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double">
        <color indexed="64"/>
      </right>
      <top style="thin">
        <color indexed="64"/>
      </top>
      <bottom/>
      <diagonal/>
    </border>
    <border>
      <left style="double">
        <color indexed="64"/>
      </left>
      <right style="double">
        <color indexed="64"/>
      </right>
      <top/>
      <bottom/>
      <diagonal/>
    </border>
    <border>
      <left style="double">
        <color indexed="64"/>
      </left>
      <right style="double">
        <color indexed="64"/>
      </right>
      <top/>
      <bottom style="thin">
        <color indexed="64"/>
      </bottom>
      <diagonal/>
    </border>
    <border>
      <left style="double">
        <color indexed="64"/>
      </left>
      <right style="double">
        <color indexed="64"/>
      </right>
      <top style="double">
        <color indexed="64"/>
      </top>
      <bottom/>
      <diagonal/>
    </border>
  </borders>
  <cellStyleXfs count="5">
    <xf numFmtId="0" fontId="1" fillId="0" borderId="0"/>
    <xf numFmtId="43" fontId="1" fillId="0" borderId="0"/>
    <xf numFmtId="0" fontId="12" fillId="0" borderId="0"/>
    <xf numFmtId="43" fontId="12" fillId="0" borderId="0"/>
    <xf numFmtId="0" fontId="12" fillId="0" borderId="0"/>
  </cellStyleXfs>
  <cellXfs count="328">
    <xf numFmtId="0" fontId="0" fillId="0" borderId="0" pivotButton="0" quotePrefix="0" xfId="0"/>
    <xf numFmtId="0" fontId="2" fillId="2" borderId="0" pivotButton="0" quotePrefix="0" xfId="0"/>
    <xf numFmtId="0" fontId="3" fillId="3" borderId="1" applyAlignment="1" pivotButton="0" quotePrefix="0" xfId="0">
      <alignment horizontal="center"/>
    </xf>
    <xf numFmtId="0" fontId="3" fillId="3" borderId="2" applyAlignment="1" pivotButton="0" quotePrefix="0" xfId="0">
      <alignment horizontal="center"/>
    </xf>
    <xf numFmtId="0" fontId="3" fillId="3" borderId="3" applyAlignment="1" pivotButton="0" quotePrefix="0" xfId="0">
      <alignment horizontal="center"/>
    </xf>
    <xf numFmtId="0" fontId="4" fillId="3" borderId="4" applyAlignment="1" pivotButton="0" quotePrefix="0" xfId="0">
      <alignment horizontal="center"/>
    </xf>
    <xf numFmtId="0" fontId="4" fillId="3" borderId="0" applyAlignment="1" pivotButton="0" quotePrefix="0" xfId="0">
      <alignment horizontal="center"/>
    </xf>
    <xf numFmtId="0" fontId="4" fillId="3" borderId="5" applyAlignment="1" pivotButton="0" quotePrefix="0" xfId="0">
      <alignment horizontal="center"/>
    </xf>
    <xf numFmtId="0" fontId="5" fillId="2" borderId="0" pivotButton="0" quotePrefix="0" xfId="0"/>
    <xf numFmtId="0" fontId="6" fillId="3" borderId="6" pivotButton="0" quotePrefix="0" xfId="0"/>
    <xf numFmtId="0" fontId="7" fillId="3" borderId="7" pivotButton="0" quotePrefix="0" xfId="0"/>
    <xf numFmtId="0" fontId="7" fillId="3" borderId="8" pivotButton="0" quotePrefix="0" xfId="0"/>
    <xf numFmtId="0" fontId="5" fillId="3" borderId="9" pivotButton="0" quotePrefix="0" xfId="0"/>
    <xf numFmtId="0" fontId="5" fillId="3" borderId="10" pivotButton="0" quotePrefix="0" xfId="0"/>
    <xf numFmtId="0" fontId="5" fillId="3" borderId="11" pivotButton="0" quotePrefix="0" xfId="0"/>
    <xf numFmtId="164" fontId="5" fillId="0" borderId="12" applyAlignment="1" applyProtection="1" pivotButton="0" quotePrefix="0" xfId="0">
      <alignment horizontal="center"/>
      <protection locked="0" hidden="0"/>
    </xf>
    <xf numFmtId="14" fontId="5" fillId="0" borderId="13" applyAlignment="1" applyProtection="1" pivotButton="0" quotePrefix="0" xfId="0">
      <alignment horizontal="center"/>
      <protection locked="0" hidden="0"/>
    </xf>
    <xf numFmtId="14" fontId="5" fillId="0" borderId="10" applyAlignment="1" applyProtection="1" pivotButton="0" quotePrefix="0" xfId="0">
      <alignment horizontal="center"/>
      <protection locked="0" hidden="0"/>
    </xf>
    <xf numFmtId="14" fontId="5" fillId="0" borderId="11" applyAlignment="1" applyProtection="1" pivotButton="0" quotePrefix="0" xfId="0">
      <alignment horizontal="center"/>
      <protection locked="0" hidden="0"/>
    </xf>
    <xf numFmtId="0" fontId="5" fillId="3" borderId="13" pivotButton="0" quotePrefix="0" xfId="0"/>
    <xf numFmtId="0" fontId="5" fillId="0" borderId="13" applyAlignment="1" applyProtection="1" pivotButton="0" quotePrefix="0" xfId="0">
      <alignment horizontal="center"/>
      <protection locked="0" hidden="0"/>
    </xf>
    <xf numFmtId="0" fontId="5" fillId="0" borderId="10" applyAlignment="1" applyProtection="1" pivotButton="0" quotePrefix="0" xfId="0">
      <alignment horizontal="center"/>
      <protection locked="0" hidden="0"/>
    </xf>
    <xf numFmtId="0" fontId="5" fillId="0" borderId="14" applyAlignment="1" applyProtection="1" pivotButton="0" quotePrefix="0" xfId="0">
      <alignment horizontal="center"/>
      <protection locked="0" hidden="0"/>
    </xf>
    <xf numFmtId="0" fontId="5" fillId="3" borderId="15" pivotButton="0" quotePrefix="0" xfId="0"/>
    <xf numFmtId="0" fontId="5" fillId="3" borderId="16" pivotButton="0" quotePrefix="0" xfId="0"/>
    <xf numFmtId="0" fontId="5" fillId="3" borderId="17" pivotButton="0" quotePrefix="0" xfId="0"/>
    <xf numFmtId="0" fontId="5" fillId="4" borderId="12" applyAlignment="1" applyProtection="1" pivotButton="0" quotePrefix="0" xfId="0">
      <alignment horizontal="center"/>
      <protection locked="0" hidden="0"/>
    </xf>
    <xf numFmtId="0" fontId="0" fillId="0" borderId="10" applyAlignment="1" pivotButton="0" quotePrefix="0" xfId="0">
      <alignment horizontal="center"/>
    </xf>
    <xf numFmtId="0" fontId="0" fillId="0" borderId="11" applyAlignment="1" pivotButton="0" quotePrefix="0" xfId="0">
      <alignment horizontal="center"/>
    </xf>
    <xf numFmtId="0" fontId="5" fillId="0" borderId="11" applyAlignment="1" applyProtection="1" pivotButton="0" quotePrefix="0" xfId="0">
      <alignment horizontal="center"/>
      <protection locked="0" hidden="0"/>
    </xf>
    <xf numFmtId="0" fontId="5" fillId="5" borderId="9" pivotButton="0" quotePrefix="0" xfId="0"/>
    <xf numFmtId="0" fontId="5" fillId="5" borderId="10" pivotButton="0" quotePrefix="0" xfId="0"/>
    <xf numFmtId="0" fontId="5" fillId="5" borderId="11" pivotButton="0" quotePrefix="0" xfId="0"/>
    <xf numFmtId="0" fontId="5" fillId="5" borderId="13" pivotButton="0" quotePrefix="0" xfId="0"/>
    <xf numFmtId="0" fontId="7" fillId="3" borderId="4" applyAlignment="1" pivotButton="0" quotePrefix="0" xfId="0">
      <alignment horizontal="center"/>
    </xf>
    <xf numFmtId="0" fontId="7" fillId="3" borderId="0" applyAlignment="1" pivotButton="0" quotePrefix="0" xfId="0">
      <alignment horizontal="center"/>
    </xf>
    <xf numFmtId="0" fontId="7" fillId="3" borderId="5" applyAlignment="1" pivotButton="0" quotePrefix="0" xfId="0">
      <alignment horizontal="center"/>
    </xf>
    <xf numFmtId="0" fontId="6" fillId="3" borderId="4" pivotButton="0" quotePrefix="0" xfId="0"/>
    <xf numFmtId="0" fontId="7" fillId="3" borderId="0" pivotButton="0" quotePrefix="0" xfId="0"/>
    <xf numFmtId="0" fontId="7" fillId="3" borderId="5" pivotButton="0" quotePrefix="0" xfId="0"/>
    <xf numFmtId="0" fontId="8" fillId="3" borderId="4" pivotButton="0" quotePrefix="0" xfId="0"/>
    <xf numFmtId="0" fontId="8" fillId="3" borderId="0" pivotButton="0" quotePrefix="0" xfId="0"/>
    <xf numFmtId="0" fontId="5" fillId="3" borderId="0" pivotButton="0" quotePrefix="0" xfId="0"/>
    <xf numFmtId="0" fontId="5" fillId="3" borderId="5" pivotButton="0" quotePrefix="0" xfId="0"/>
    <xf numFmtId="0" fontId="5" fillId="3" borderId="4" pivotButton="0" quotePrefix="0" xfId="0"/>
    <xf numFmtId="0" fontId="7" fillId="0" borderId="18" applyProtection="1" pivotButton="0" quotePrefix="0" xfId="0">
      <protection locked="0" hidden="0"/>
    </xf>
    <xf numFmtId="0" fontId="5" fillId="0" borderId="18" applyProtection="1" pivotButton="0" quotePrefix="0" xfId="0">
      <protection locked="0" hidden="0"/>
    </xf>
    <xf numFmtId="0" fontId="9" fillId="0" borderId="18" applyProtection="1" pivotButton="0" quotePrefix="0" xfId="0">
      <protection locked="0" hidden="0"/>
    </xf>
    <xf numFmtId="0" fontId="6" fillId="3" borderId="0" pivotButton="0" quotePrefix="0" xfId="0"/>
    <xf numFmtId="0" fontId="6" fillId="3" borderId="5" pivotButton="0" quotePrefix="0" xfId="0"/>
    <xf numFmtId="0" fontId="10" fillId="3" borderId="6" pivotButton="0" quotePrefix="0" xfId="0"/>
    <xf numFmtId="0" fontId="10" fillId="3" borderId="7" pivotButton="0" quotePrefix="0" xfId="0"/>
    <xf numFmtId="0" fontId="10" fillId="3" borderId="8" pivotButton="0" quotePrefix="0" xfId="0"/>
    <xf numFmtId="0" fontId="5" fillId="3" borderId="19" applyAlignment="1" pivotButton="0" quotePrefix="0" xfId="0">
      <alignment horizontal="center"/>
    </xf>
    <xf numFmtId="0" fontId="5" fillId="3" borderId="18" applyAlignment="1" pivotButton="0" quotePrefix="0" xfId="0">
      <alignment horizontal="center"/>
    </xf>
    <xf numFmtId="0" fontId="5" fillId="3" borderId="12" applyAlignment="1" pivotButton="0" quotePrefix="0" xfId="0">
      <alignment horizontal="center" wrapText="1"/>
    </xf>
    <xf numFmtId="0" fontId="5" fillId="3" borderId="16" applyAlignment="1" pivotButton="0" quotePrefix="0" xfId="0">
      <alignment horizontal="center" wrapText="1"/>
    </xf>
    <xf numFmtId="0" fontId="5" fillId="3" borderId="17" applyAlignment="1" pivotButton="0" quotePrefix="0" xfId="0">
      <alignment horizontal="center" wrapText="1"/>
    </xf>
    <xf numFmtId="0" fontId="5" fillId="3" borderId="18" applyAlignment="1" pivotButton="0" quotePrefix="0" xfId="0">
      <alignment horizontal="center" wrapText="1"/>
    </xf>
    <xf numFmtId="0" fontId="5" fillId="3" borderId="20" applyAlignment="1" pivotButton="0" quotePrefix="0" xfId="0">
      <alignment horizontal="center" wrapText="1"/>
    </xf>
    <xf numFmtId="0" fontId="5" fillId="0" borderId="0" pivotButton="0" quotePrefix="0" xfId="0"/>
    <xf numFmtId="0" fontId="5" fillId="3" borderId="21" applyAlignment="1" pivotButton="0" quotePrefix="0" xfId="0">
      <alignment horizontal="center" wrapText="1"/>
    </xf>
    <xf numFmtId="0" fontId="5" fillId="3" borderId="7" applyAlignment="1" pivotButton="0" quotePrefix="0" xfId="0">
      <alignment horizontal="center" wrapText="1"/>
    </xf>
    <xf numFmtId="0" fontId="5" fillId="3" borderId="22" applyAlignment="1" pivotButton="0" quotePrefix="0" xfId="0">
      <alignment horizontal="center" wrapText="1"/>
    </xf>
    <xf numFmtId="0" fontId="5" fillId="3" borderId="19" pivotButton="0" quotePrefix="0" xfId="0"/>
    <xf numFmtId="0" fontId="5" fillId="3" borderId="18" pivotButton="0" quotePrefix="0" xfId="0"/>
    <xf numFmtId="0" fontId="5" fillId="4" borderId="18" applyAlignment="1" applyProtection="1" pivotButton="0" quotePrefix="0" xfId="0">
      <alignment horizontal="center" wrapText="1"/>
      <protection locked="0" hidden="0"/>
    </xf>
    <xf numFmtId="0" fontId="5" fillId="4" borderId="18" applyAlignment="1" applyProtection="1" pivotButton="0" quotePrefix="0" xfId="0">
      <alignment horizontal="center"/>
      <protection locked="0" hidden="0"/>
    </xf>
    <xf numFmtId="0" fontId="5" fillId="0" borderId="18" applyAlignment="1" applyProtection="1" pivotButton="0" quotePrefix="0" xfId="0">
      <alignment horizontal="center"/>
      <protection locked="0" hidden="0"/>
    </xf>
    <xf numFmtId="0" fontId="5" fillId="2" borderId="18" applyAlignment="1" pivotButton="0" quotePrefix="0" xfId="0">
      <alignment horizontal="center" wrapText="1"/>
    </xf>
    <xf numFmtId="0" fontId="5" fillId="2" borderId="20" applyAlignment="1" pivotButton="0" quotePrefix="0" xfId="0">
      <alignment horizontal="center" wrapText="1"/>
    </xf>
    <xf numFmtId="0" fontId="5" fillId="3" borderId="9" applyAlignment="1" pivotButton="0" quotePrefix="0" xfId="0">
      <alignment wrapText="1"/>
    </xf>
    <xf numFmtId="0" fontId="5" fillId="3" borderId="10" applyAlignment="1" pivotButton="0" quotePrefix="0" xfId="0">
      <alignment wrapText="1"/>
    </xf>
    <xf numFmtId="0" fontId="5" fillId="3" borderId="11" applyAlignment="1" pivotButton="0" quotePrefix="0" xfId="0">
      <alignment wrapText="1"/>
    </xf>
    <xf numFmtId="0" fontId="5" fillId="4" borderId="13" applyAlignment="1" applyProtection="1" pivotButton="0" quotePrefix="0" xfId="0">
      <alignment horizontal="center"/>
      <protection locked="0" hidden="0"/>
    </xf>
    <xf numFmtId="0" fontId="5" fillId="4" borderId="10" applyAlignment="1" applyProtection="1" pivotButton="0" quotePrefix="0" xfId="0">
      <alignment horizontal="center"/>
      <protection locked="0" hidden="0"/>
    </xf>
    <xf numFmtId="0" fontId="5" fillId="4" borderId="11" applyAlignment="1" applyProtection="1" pivotButton="0" quotePrefix="0" xfId="0">
      <alignment horizontal="center"/>
      <protection locked="0" hidden="0"/>
    </xf>
    <xf numFmtId="0" fontId="5" fillId="0" borderId="13" applyAlignment="1" applyProtection="1" pivotButton="0" quotePrefix="0" xfId="0">
      <alignment horizontal="center" wrapText="1"/>
      <protection locked="0" hidden="0"/>
    </xf>
    <xf numFmtId="0" fontId="5" fillId="0" borderId="10" applyAlignment="1" applyProtection="1" pivotButton="0" quotePrefix="0" xfId="0">
      <alignment horizontal="center" wrapText="1"/>
      <protection locked="0" hidden="0"/>
    </xf>
    <xf numFmtId="0" fontId="5" fillId="0" borderId="14" applyAlignment="1" applyProtection="1" pivotButton="0" quotePrefix="0" xfId="0">
      <alignment horizontal="center" wrapText="1"/>
      <protection locked="0" hidden="0"/>
    </xf>
    <xf numFmtId="0" fontId="5" fillId="0" borderId="18" applyAlignment="1" applyProtection="1" pivotButton="0" quotePrefix="0" xfId="0">
      <alignment horizontal="center" wrapText="1"/>
      <protection locked="0" hidden="0"/>
    </xf>
    <xf numFmtId="0" fontId="5" fillId="0" borderId="20" applyAlignment="1" applyProtection="1" pivotButton="0" quotePrefix="0" xfId="0">
      <alignment horizontal="center" wrapText="1"/>
      <protection locked="0" hidden="0"/>
    </xf>
    <xf numFmtId="0" fontId="5" fillId="3" borderId="20" applyAlignment="1" pivotButton="0" quotePrefix="0" xfId="0">
      <alignment horizontal="center"/>
    </xf>
    <xf numFmtId="0" fontId="5" fillId="3" borderId="9" applyAlignment="1" pivotButton="0" quotePrefix="0" xfId="0">
      <alignment horizontal="left" vertical="top" wrapText="1"/>
    </xf>
    <xf numFmtId="0" fontId="5" fillId="3" borderId="10" applyAlignment="1" pivotButton="0" quotePrefix="0" xfId="0">
      <alignment horizontal="left" vertical="top" wrapText="1"/>
    </xf>
    <xf numFmtId="0" fontId="5" fillId="3" borderId="11" applyAlignment="1" pivotButton="0" quotePrefix="0" xfId="0">
      <alignment horizontal="left" vertical="top" wrapText="1"/>
    </xf>
    <xf numFmtId="0" fontId="5" fillId="4" borderId="13" applyAlignment="1" applyProtection="1" pivotButton="0" quotePrefix="0" xfId="0">
      <alignment horizontal="center" wrapText="1"/>
      <protection locked="0" hidden="0"/>
    </xf>
    <xf numFmtId="0" fontId="5" fillId="4" borderId="14" applyAlignment="1" applyProtection="1" pivotButton="0" quotePrefix="0" xfId="0">
      <alignment horizontal="center"/>
      <protection locked="0" hidden="0"/>
    </xf>
    <xf numFmtId="0" fontId="5" fillId="0" borderId="19" applyAlignment="1" applyProtection="1" pivotButton="0" quotePrefix="0" xfId="0">
      <alignment horizontal="center"/>
      <protection locked="0" hidden="0"/>
    </xf>
    <xf numFmtId="0" fontId="5" fillId="0" borderId="20" applyAlignment="1" applyProtection="1" pivotButton="0" quotePrefix="0" xfId="0">
      <alignment horizontal="center"/>
      <protection locked="0" hidden="0"/>
    </xf>
    <xf numFmtId="0" fontId="5" fillId="3" borderId="13" applyAlignment="1" applyProtection="1" pivotButton="0" quotePrefix="0" xfId="0">
      <alignment horizontal="center"/>
      <protection locked="0" hidden="0"/>
    </xf>
    <xf numFmtId="0" fontId="5" fillId="3" borderId="10" applyAlignment="1" applyProtection="1" pivotButton="0" quotePrefix="0" xfId="0">
      <alignment horizontal="center"/>
      <protection locked="0" hidden="0"/>
    </xf>
    <xf numFmtId="0" fontId="5" fillId="3" borderId="11" applyAlignment="1" applyProtection="1" pivotButton="0" quotePrefix="0" xfId="0">
      <alignment horizontal="center"/>
      <protection locked="0" hidden="0"/>
    </xf>
    <xf numFmtId="43" fontId="5" fillId="4" borderId="13" applyAlignment="1" applyProtection="1" pivotButton="0" quotePrefix="0" xfId="1">
      <alignment horizontal="center"/>
      <protection locked="0" hidden="0"/>
    </xf>
    <xf numFmtId="0" fontId="5" fillId="3" borderId="13" applyAlignment="1" pivotButton="0" quotePrefix="0" xfId="0">
      <alignment horizontal="center"/>
    </xf>
    <xf numFmtId="0" fontId="5" fillId="3" borderId="10" applyAlignment="1" pivotButton="0" quotePrefix="0" xfId="0">
      <alignment horizontal="center"/>
    </xf>
    <xf numFmtId="0" fontId="5" fillId="3" borderId="11" applyAlignment="1" pivotButton="0" quotePrefix="0" xfId="0">
      <alignment horizontal="center"/>
    </xf>
    <xf numFmtId="0" fontId="11" fillId="5" borderId="4" pivotButton="0" quotePrefix="0" xfId="0"/>
    <xf numFmtId="0" fontId="2" fillId="5" borderId="0" pivotButton="0" quotePrefix="0" xfId="0"/>
    <xf numFmtId="0" fontId="2" fillId="5" borderId="5" pivotButton="0" quotePrefix="0" xfId="0"/>
    <xf numFmtId="0" fontId="2" fillId="0" borderId="0" pivotButton="0" quotePrefix="0" xfId="0"/>
    <xf numFmtId="0" fontId="2" fillId="5" borderId="4" pivotButton="0" quotePrefix="0" xfId="0"/>
    <xf numFmtId="0" fontId="2" fillId="5" borderId="23" pivotButton="0" quotePrefix="0" xfId="0"/>
    <xf numFmtId="0" fontId="2" fillId="5" borderId="24" pivotButton="0" quotePrefix="0" xfId="0"/>
    <xf numFmtId="0" fontId="2" fillId="5" borderId="25" pivotButton="0" quotePrefix="0" xfId="0"/>
    <xf numFmtId="0" fontId="12" fillId="2" borderId="2" applyAlignment="1" applyProtection="1" pivotButton="0" quotePrefix="0" xfId="0">
      <alignment wrapText="1"/>
      <protection locked="0" hidden="0"/>
    </xf>
    <xf numFmtId="0" fontId="13" fillId="2" borderId="0" pivotButton="0" quotePrefix="0" xfId="0"/>
    <xf numFmtId="2" fontId="13" fillId="2" borderId="0" pivotButton="0" quotePrefix="0" xfId="0"/>
    <xf numFmtId="0" fontId="14" fillId="3" borderId="1" applyAlignment="1" pivotButton="0" quotePrefix="0" xfId="0">
      <alignment horizontal="center"/>
    </xf>
    <xf numFmtId="0" fontId="14" fillId="3" borderId="2" applyAlignment="1" pivotButton="0" quotePrefix="0" xfId="0">
      <alignment horizontal="center"/>
    </xf>
    <xf numFmtId="0" fontId="14" fillId="3" borderId="3" applyAlignment="1" pivotButton="0" quotePrefix="0" xfId="0">
      <alignment horizontal="center"/>
    </xf>
    <xf numFmtId="0" fontId="13" fillId="0" borderId="0" pivotButton="0" quotePrefix="0" xfId="0"/>
    <xf numFmtId="0" fontId="14" fillId="3" borderId="4" applyAlignment="1" pivotButton="0" quotePrefix="0" xfId="0">
      <alignment horizontal="center"/>
    </xf>
    <xf numFmtId="0" fontId="14" fillId="3" borderId="0" applyAlignment="1" pivotButton="0" quotePrefix="0" xfId="0">
      <alignment horizontal="center"/>
    </xf>
    <xf numFmtId="0" fontId="14" fillId="3" borderId="5" applyAlignment="1" pivotButton="0" quotePrefix="0" xfId="0">
      <alignment horizontal="center"/>
    </xf>
    <xf numFmtId="0" fontId="15" fillId="3" borderId="4" applyAlignment="1" pivotButton="0" quotePrefix="0" xfId="0">
      <alignment horizontal="center"/>
    </xf>
    <xf numFmtId="0" fontId="15" fillId="3" borderId="0" applyAlignment="1" pivotButton="0" quotePrefix="0" xfId="0">
      <alignment horizontal="center"/>
    </xf>
    <xf numFmtId="0" fontId="15" fillId="3" borderId="5" applyAlignment="1" pivotButton="0" quotePrefix="0" xfId="0">
      <alignment horizontal="center"/>
    </xf>
    <xf numFmtId="0" fontId="14" fillId="3" borderId="4" pivotButton="0" quotePrefix="0" xfId="0"/>
    <xf numFmtId="0" fontId="14" fillId="3" borderId="0" pivotButton="0" quotePrefix="0" xfId="0"/>
    <xf numFmtId="0" fontId="13" fillId="3" borderId="0" pivotButton="0" quotePrefix="0" xfId="0"/>
    <xf numFmtId="2" fontId="13" fillId="3" borderId="0" pivotButton="0" quotePrefix="0" xfId="0"/>
    <xf numFmtId="0" fontId="13" fillId="3" borderId="5" pivotButton="0" quotePrefix="0" xfId="0"/>
    <xf numFmtId="0" fontId="13" fillId="3" borderId="26" applyAlignment="1" pivotButton="0" quotePrefix="0" xfId="0">
      <alignment horizontal="center" wrapText="1"/>
    </xf>
    <xf numFmtId="0" fontId="13" fillId="3" borderId="17" applyAlignment="1" pivotButton="0" quotePrefix="0" xfId="0">
      <alignment horizontal="center" wrapText="1"/>
    </xf>
    <xf numFmtId="0" fontId="13" fillId="3" borderId="18" applyAlignment="1" pivotButton="0" quotePrefix="0" xfId="0">
      <alignment horizontal="center" wrapText="1"/>
    </xf>
    <xf numFmtId="2" fontId="13" fillId="3" borderId="18" applyAlignment="1" pivotButton="0" quotePrefix="0" xfId="0">
      <alignment horizontal="center" wrapText="1"/>
    </xf>
    <xf numFmtId="0" fontId="13" fillId="5" borderId="18" applyAlignment="1" pivotButton="0" quotePrefix="0" xfId="0">
      <alignment horizontal="center" wrapText="1"/>
    </xf>
    <xf numFmtId="0" fontId="13" fillId="5" borderId="20" applyAlignment="1" pivotButton="0" quotePrefix="0" xfId="0">
      <alignment horizontal="center" wrapText="1"/>
    </xf>
    <xf numFmtId="0" fontId="13" fillId="0" borderId="0" applyAlignment="1" pivotButton="0" quotePrefix="0" xfId="0">
      <alignment wrapText="1"/>
    </xf>
    <xf numFmtId="0" fontId="13" fillId="4" borderId="18" applyAlignment="1" pivotButton="0" quotePrefix="0" xfId="0">
      <alignment horizontal="left" vertical="top"/>
    </xf>
    <xf numFmtId="0" fontId="16" fillId="4" borderId="18" applyAlignment="1" pivotButton="0" quotePrefix="0" xfId="0">
      <alignment vertical="center"/>
    </xf>
    <xf numFmtId="2" fontId="13" fillId="4" borderId="18" applyAlignment="1" applyProtection="1" pivotButton="0" quotePrefix="0" xfId="1">
      <alignment horizontal="center"/>
      <protection locked="0" hidden="0"/>
    </xf>
    <xf numFmtId="0" fontId="16" fillId="4" borderId="18" applyAlignment="1" pivotButton="0" quotePrefix="0" xfId="0">
      <alignment vertical="center" wrapText="1"/>
    </xf>
    <xf numFmtId="0" fontId="13" fillId="5" borderId="18" applyAlignment="1" pivotButton="0" quotePrefix="0" xfId="0">
      <alignment horizontal="center"/>
    </xf>
    <xf numFmtId="0" fontId="13" fillId="0" borderId="18" applyAlignment="1" pivotButton="0" quotePrefix="0" xfId="0">
      <alignment horizontal="left" vertical="top"/>
    </xf>
    <xf numFmtId="0" fontId="16" fillId="0" borderId="18" applyAlignment="1" pivotButton="0" quotePrefix="0" xfId="0">
      <alignment vertical="center"/>
    </xf>
    <xf numFmtId="2" fontId="13" fillId="2" borderId="18" applyAlignment="1" applyProtection="1" pivotButton="0" quotePrefix="0" xfId="1">
      <alignment horizontal="center"/>
      <protection locked="0" hidden="0"/>
    </xf>
    <xf numFmtId="0" fontId="16" fillId="0" borderId="18" applyAlignment="1" pivotButton="0" quotePrefix="0" xfId="0">
      <alignment vertical="center" wrapText="1"/>
    </xf>
    <xf numFmtId="0" fontId="13" fillId="0" borderId="18" applyAlignment="1" pivotButton="0" quotePrefix="1" xfId="0">
      <alignment horizontal="left" vertical="top" wrapText="1"/>
    </xf>
    <xf numFmtId="0" fontId="13" fillId="0" borderId="18" applyAlignment="1" pivotButton="0" quotePrefix="0" xfId="0">
      <alignment horizontal="left" vertical="top" wrapText="1"/>
    </xf>
    <xf numFmtId="0" fontId="13" fillId="5" borderId="18" pivotButton="0" quotePrefix="0" xfId="0"/>
    <xf numFmtId="0" fontId="14" fillId="3" borderId="27" pivotButton="0" quotePrefix="0" xfId="0"/>
    <xf numFmtId="0" fontId="14" fillId="3" borderId="28" pivotButton="0" quotePrefix="0" xfId="0"/>
    <xf numFmtId="0" fontId="14" fillId="3" borderId="29" applyAlignment="1" pivotButton="0" quotePrefix="0" xfId="0">
      <alignment horizontal="right"/>
    </xf>
    <xf numFmtId="0" fontId="14" fillId="3" borderId="30" applyAlignment="1" pivotButton="0" quotePrefix="0" xfId="0">
      <alignment horizontal="right"/>
    </xf>
    <xf numFmtId="0" fontId="14" fillId="3" borderId="30" applyAlignment="1" pivotButton="0" quotePrefix="0" xfId="0">
      <alignment horizontal="center"/>
    </xf>
    <xf numFmtId="2" fontId="14" fillId="2" borderId="30" applyProtection="1" pivotButton="0" quotePrefix="0" xfId="1">
      <protection locked="0" hidden="0"/>
    </xf>
    <xf numFmtId="0" fontId="13" fillId="5" borderId="29" pivotButton="0" quotePrefix="0" xfId="0"/>
    <xf numFmtId="0" fontId="13" fillId="5" borderId="31" pivotButton="0" quotePrefix="0" xfId="0"/>
    <xf numFmtId="0" fontId="13" fillId="2" borderId="2" applyAlignment="1" applyProtection="1" pivotButton="0" quotePrefix="0" xfId="0">
      <alignment wrapText="1"/>
      <protection locked="0" hidden="0"/>
    </xf>
    <xf numFmtId="2" fontId="13" fillId="0" borderId="0" pivotButton="0" quotePrefix="0" xfId="0"/>
    <xf numFmtId="0" fontId="18" fillId="0" borderId="0" pivotButton="0" quotePrefix="0" xfId="2"/>
    <xf numFmtId="0" fontId="19" fillId="2" borderId="0" applyAlignment="1" pivotButton="0" quotePrefix="0" xfId="2">
      <alignment horizontal="centerContinuous"/>
    </xf>
    <xf numFmtId="165" fontId="12" fillId="0" borderId="0" applyAlignment="1" pivotButton="0" quotePrefix="0" xfId="2">
      <alignment horizontal="centerContinuous"/>
    </xf>
    <xf numFmtId="0" fontId="12" fillId="0" borderId="0" applyAlignment="1" pivotButton="0" quotePrefix="0" xfId="2">
      <alignment horizontal="centerContinuous"/>
    </xf>
    <xf numFmtId="0" fontId="18" fillId="0" borderId="0" applyAlignment="1" pivotButton="0" quotePrefix="0" xfId="2">
      <alignment horizontal="centerContinuous"/>
    </xf>
    <xf numFmtId="0" fontId="20" fillId="0" borderId="0" applyAlignment="1" pivotButton="0" quotePrefix="0" xfId="2">
      <alignment horizontal="centerContinuous"/>
    </xf>
    <xf numFmtId="2" fontId="20" fillId="0" borderId="0" applyAlignment="1" pivotButton="0" quotePrefix="0" xfId="2">
      <alignment horizontal="centerContinuous"/>
    </xf>
    <xf numFmtId="0" fontId="18" fillId="0" borderId="0" applyAlignment="1" pivotButton="0" quotePrefix="0" xfId="2">
      <alignment wrapText="1"/>
    </xf>
    <xf numFmtId="49" fontId="18" fillId="0" borderId="0" pivotButton="0" quotePrefix="0" xfId="2"/>
    <xf numFmtId="0" fontId="18" fillId="0" borderId="0" applyAlignment="1" pivotButton="0" quotePrefix="0" xfId="2">
      <alignment horizontal="right"/>
    </xf>
    <xf numFmtId="0" fontId="18" fillId="0" borderId="0" applyAlignment="1" pivotButton="0" quotePrefix="0" xfId="2">
      <alignment horizontal="left"/>
    </xf>
    <xf numFmtId="0" fontId="12" fillId="0" borderId="0" pivotButton="0" quotePrefix="0" xfId="2"/>
    <xf numFmtId="0" fontId="21" fillId="6" borderId="0" applyAlignment="1" pivotButton="0" quotePrefix="0" xfId="2">
      <alignment horizontal="centerContinuous"/>
    </xf>
    <xf numFmtId="0" fontId="18" fillId="6" borderId="0" applyAlignment="1" pivotButton="0" quotePrefix="0" xfId="2">
      <alignment horizontal="centerContinuous"/>
    </xf>
    <xf numFmtId="0" fontId="20" fillId="6" borderId="0" applyAlignment="1" pivotButton="0" quotePrefix="0" xfId="2">
      <alignment horizontal="centerContinuous"/>
    </xf>
    <xf numFmtId="2" fontId="20" fillId="6" borderId="0" applyAlignment="1" pivotButton="0" quotePrefix="0" xfId="2">
      <alignment horizontal="centerContinuous"/>
    </xf>
    <xf numFmtId="49" fontId="18" fillId="0" borderId="0" applyAlignment="1" pivotButton="0" quotePrefix="0" xfId="2">
      <alignment horizontal="left"/>
    </xf>
    <xf numFmtId="165" fontId="18" fillId="0" borderId="0" pivotButton="0" quotePrefix="0" xfId="2"/>
    <xf numFmtId="0" fontId="18" fillId="2" borderId="0" applyAlignment="1" pivotButton="0" quotePrefix="0" xfId="2">
      <alignment horizontal="left"/>
    </xf>
    <xf numFmtId="0" fontId="18" fillId="2" borderId="0" pivotButton="0" quotePrefix="0" xfId="2"/>
    <xf numFmtId="2" fontId="18" fillId="2" borderId="0" pivotButton="0" quotePrefix="0" xfId="2"/>
    <xf numFmtId="0" fontId="14" fillId="6" borderId="13" pivotButton="0" quotePrefix="0" xfId="2"/>
    <xf numFmtId="0" fontId="14" fillId="6" borderId="10" pivotButton="0" quotePrefix="0" xfId="2"/>
    <xf numFmtId="0" fontId="18" fillId="6" borderId="10" pivotButton="0" quotePrefix="0" xfId="2"/>
    <xf numFmtId="165" fontId="18" fillId="7" borderId="18" applyProtection="1" pivotButton="0" quotePrefix="0" xfId="2">
      <protection locked="0" hidden="0"/>
    </xf>
    <xf numFmtId="0" fontId="22" fillId="6" borderId="12" applyAlignment="1" pivotButton="0" quotePrefix="0" xfId="2">
      <alignment horizontal="left"/>
    </xf>
    <xf numFmtId="0" fontId="23" fillId="6" borderId="10" pivotButton="0" quotePrefix="0" xfId="2"/>
    <xf numFmtId="0" fontId="23" fillId="6" borderId="11" pivotButton="0" quotePrefix="0" xfId="2"/>
    <xf numFmtId="2" fontId="18" fillId="7" borderId="10" applyProtection="1" pivotButton="0" quotePrefix="0" xfId="2">
      <protection locked="1" hidden="1"/>
    </xf>
    <xf numFmtId="0" fontId="14" fillId="6" borderId="10" applyProtection="1" pivotButton="0" quotePrefix="0" xfId="2">
      <protection locked="0" hidden="0"/>
    </xf>
    <xf numFmtId="0" fontId="12" fillId="6" borderId="10" applyProtection="1" pivotButton="0" quotePrefix="0" xfId="2">
      <protection locked="0" hidden="0"/>
    </xf>
    <xf numFmtId="0" fontId="24" fillId="6" borderId="10" applyAlignment="1" pivotButton="0" quotePrefix="0" xfId="2">
      <alignment horizontal="center"/>
    </xf>
    <xf numFmtId="49" fontId="24" fillId="8" borderId="11" applyAlignment="1" applyProtection="1" pivotButton="0" quotePrefix="0" xfId="2">
      <alignment horizontal="center"/>
      <protection locked="0" hidden="1"/>
    </xf>
    <xf numFmtId="0" fontId="22" fillId="6" borderId="7" pivotButton="0" quotePrefix="0" xfId="2"/>
    <xf numFmtId="0" fontId="14" fillId="6" borderId="7" pivotButton="0" quotePrefix="0" xfId="2"/>
    <xf numFmtId="0" fontId="22" fillId="6" borderId="0" pivotButton="0" quotePrefix="0" xfId="2"/>
    <xf numFmtId="165" fontId="18" fillId="7" borderId="32" applyProtection="1" pivotButton="0" quotePrefix="0" xfId="2">
      <protection locked="0" hidden="0"/>
    </xf>
    <xf numFmtId="0" fontId="22" fillId="6" borderId="13" applyAlignment="1" pivotButton="0" quotePrefix="0" xfId="2">
      <alignment horizontal="left"/>
    </xf>
    <xf numFmtId="2" fontId="18" fillId="7" borderId="18" applyProtection="1" pivotButton="0" quotePrefix="0" xfId="2">
      <protection locked="1" hidden="1"/>
    </xf>
    <xf numFmtId="0" fontId="25" fillId="8" borderId="0" pivotButton="0" quotePrefix="0" xfId="2"/>
    <xf numFmtId="0" fontId="26" fillId="8" borderId="0" pivotButton="0" quotePrefix="0" xfId="2"/>
    <xf numFmtId="0" fontId="18" fillId="8" borderId="33" applyProtection="1" pivotButton="0" quotePrefix="0" xfId="2">
      <protection locked="0" hidden="1"/>
    </xf>
    <xf numFmtId="0" fontId="14" fillId="2" borderId="0" applyAlignment="1" pivotButton="0" quotePrefix="0" xfId="2">
      <alignment horizontal="left"/>
    </xf>
    <xf numFmtId="0" fontId="14" fillId="2" borderId="16" pivotButton="0" quotePrefix="0" xfId="2"/>
    <xf numFmtId="0" fontId="14" fillId="2" borderId="0" pivotButton="0" quotePrefix="0" xfId="2"/>
    <xf numFmtId="0" fontId="14" fillId="6" borderId="13" pivotButton="0" quotePrefix="0" xfId="2"/>
    <xf numFmtId="0" fontId="14" fillId="0" borderId="10" pivotButton="0" quotePrefix="0" xfId="2"/>
    <xf numFmtId="0" fontId="14" fillId="0" borderId="11" pivotButton="0" quotePrefix="0" xfId="2"/>
    <xf numFmtId="49" fontId="14" fillId="6" borderId="13" pivotButton="0" quotePrefix="0" xfId="2"/>
    <xf numFmtId="49" fontId="12" fillId="0" borderId="10" pivotButton="0" quotePrefix="0" xfId="2"/>
    <xf numFmtId="49" fontId="12" fillId="6" borderId="10" pivotButton="0" quotePrefix="0" xfId="2"/>
    <xf numFmtId="49" fontId="14" fillId="6" borderId="13" pivotButton="0" quotePrefix="0" xfId="2"/>
    <xf numFmtId="49" fontId="12" fillId="6" borderId="11" pivotButton="0" quotePrefix="0" xfId="2"/>
    <xf numFmtId="0" fontId="18" fillId="6" borderId="12" pivotButton="0" quotePrefix="0" xfId="2"/>
    <xf numFmtId="0" fontId="18" fillId="6" borderId="34" pivotButton="0" quotePrefix="0" xfId="2"/>
    <xf numFmtId="0" fontId="18" fillId="6" borderId="17" pivotButton="0" quotePrefix="0" xfId="2"/>
    <xf numFmtId="0" fontId="18" fillId="6" borderId="18" pivotButton="0" quotePrefix="0" xfId="2"/>
    <xf numFmtId="165" fontId="18" fillId="6" borderId="18" applyAlignment="1" pivotButton="0" quotePrefix="0" xfId="2">
      <alignment horizontal="center"/>
    </xf>
    <xf numFmtId="0" fontId="18" fillId="6" borderId="34" applyAlignment="1" pivotButton="0" quotePrefix="0" xfId="2">
      <alignment horizontal="center"/>
    </xf>
    <xf numFmtId="0" fontId="18" fillId="6" borderId="34" applyAlignment="1" pivotButton="0" quotePrefix="0" xfId="2">
      <alignment horizontal="centerContinuous"/>
    </xf>
    <xf numFmtId="0" fontId="18" fillId="6" borderId="11" pivotButton="0" quotePrefix="0" xfId="3"/>
    <xf numFmtId="2" fontId="12" fillId="6" borderId="18" applyAlignment="1" pivotButton="0" quotePrefix="0" xfId="2">
      <alignment horizontal="centerContinuous"/>
    </xf>
    <xf numFmtId="0" fontId="18" fillId="6" borderId="35" pivotButton="0" quotePrefix="0" xfId="2"/>
    <xf numFmtId="0" fontId="18" fillId="6" borderId="36" pivotButton="0" quotePrefix="0" xfId="2"/>
    <xf numFmtId="0" fontId="18" fillId="6" borderId="36" applyAlignment="1" pivotButton="0" quotePrefix="0" xfId="2">
      <alignment wrapText="1"/>
    </xf>
    <xf numFmtId="49" fontId="18" fillId="6" borderId="34" pivotButton="0" quotePrefix="0" xfId="2"/>
    <xf numFmtId="49" fontId="18" fillId="6" borderId="17" pivotButton="0" quotePrefix="0" xfId="2"/>
    <xf numFmtId="49" fontId="18" fillId="6" borderId="17" applyAlignment="1" pivotButton="0" quotePrefix="0" xfId="2">
      <alignment horizontal="center"/>
    </xf>
    <xf numFmtId="0" fontId="18" fillId="6" borderId="17" applyAlignment="1" pivotButton="0" quotePrefix="0" xfId="2">
      <alignment horizontal="right"/>
    </xf>
    <xf numFmtId="0" fontId="18" fillId="6" borderId="17" applyAlignment="1" pivotButton="0" quotePrefix="0" xfId="2">
      <alignment horizontal="left"/>
    </xf>
    <xf numFmtId="0" fontId="18" fillId="6" borderId="17" applyAlignment="1" pivotButton="0" quotePrefix="0" xfId="2">
      <alignment horizontal="center"/>
    </xf>
    <xf numFmtId="0" fontId="27" fillId="0" borderId="0" pivotButton="0" quotePrefix="0" xfId="2"/>
    <xf numFmtId="0" fontId="18" fillId="6" borderId="32" pivotButton="0" quotePrefix="0" xfId="2"/>
    <xf numFmtId="0" fontId="18" fillId="6" borderId="35" applyAlignment="1" pivotButton="0" quotePrefix="0" xfId="2">
      <alignment horizontal="center"/>
    </xf>
    <xf numFmtId="0" fontId="18" fillId="6" borderId="36" applyAlignment="1" pivotButton="0" quotePrefix="0" xfId="2">
      <alignment horizontal="center"/>
    </xf>
    <xf numFmtId="0" fontId="18" fillId="6" borderId="34" applyAlignment="1" pivotButton="0" quotePrefix="0" xfId="2">
      <alignment horizontal="center" wrapText="1"/>
    </xf>
    <xf numFmtId="165" fontId="18" fillId="6" borderId="34" applyAlignment="1" pivotButton="0" quotePrefix="0" xfId="2">
      <alignment horizontal="center"/>
    </xf>
    <xf numFmtId="2" fontId="18" fillId="6" borderId="34" pivotButton="0" quotePrefix="0" xfId="2"/>
    <xf numFmtId="0" fontId="18" fillId="6" borderId="35" applyAlignment="1" pivotButton="0" quotePrefix="0" xfId="2">
      <alignment wrapText="1"/>
    </xf>
    <xf numFmtId="49" fontId="18" fillId="6" borderId="35" pivotButton="0" quotePrefix="0" xfId="2"/>
    <xf numFmtId="49" fontId="18" fillId="6" borderId="36" applyAlignment="1" pivotButton="0" quotePrefix="0" xfId="2">
      <alignment horizontal="center"/>
    </xf>
    <xf numFmtId="49" fontId="18" fillId="6" borderId="36" pivotButton="0" quotePrefix="0" xfId="2"/>
    <xf numFmtId="0" fontId="18" fillId="6" borderId="35" applyAlignment="1" pivotButton="0" quotePrefix="0" xfId="2">
      <alignment horizontal="right" wrapText="1"/>
    </xf>
    <xf numFmtId="0" fontId="18" fillId="6" borderId="35" applyAlignment="1" pivotButton="0" quotePrefix="0" xfId="2">
      <alignment horizontal="left"/>
    </xf>
    <xf numFmtId="0" fontId="28" fillId="0" borderId="0" pivotButton="0" quotePrefix="0" xfId="2"/>
    <xf numFmtId="0" fontId="29" fillId="9" borderId="18" pivotButton="0" quotePrefix="0" xfId="2"/>
    <xf numFmtId="0" fontId="12" fillId="9" borderId="18" pivotButton="0" quotePrefix="0" xfId="2"/>
    <xf numFmtId="14" fontId="29" fillId="9" borderId="18" pivotButton="0" quotePrefix="0" xfId="2"/>
    <xf numFmtId="0" fontId="29" fillId="9" borderId="18" applyAlignment="1" pivotButton="0" quotePrefix="0" xfId="2">
      <alignment horizontal="right"/>
    </xf>
    <xf numFmtId="22" fontId="29" fillId="9" borderId="18" applyAlignment="1" pivotButton="0" quotePrefix="0" xfId="2">
      <alignment horizontal="left"/>
    </xf>
    <xf numFmtId="22" fontId="29" fillId="9" borderId="18" pivotButton="0" quotePrefix="0" xfId="2"/>
    <xf numFmtId="0" fontId="12" fillId="9" borderId="18" applyAlignment="1" pivotButton="0" quotePrefix="0" xfId="2">
      <alignment horizontal="right"/>
    </xf>
    <xf numFmtId="0" fontId="12" fillId="9" borderId="18" applyAlignment="1" pivotButton="0" quotePrefix="0" xfId="2">
      <alignment horizontal="left"/>
    </xf>
    <xf numFmtId="0" fontId="29" fillId="9" borderId="18" applyAlignment="1" pivotButton="0" quotePrefix="0" xfId="2">
      <alignment horizontal="left"/>
    </xf>
    <xf numFmtId="49" fontId="12" fillId="9" borderId="18" pivotButton="0" quotePrefix="0" xfId="2"/>
    <xf numFmtId="22" fontId="12" fillId="9" borderId="18" applyAlignment="1" pivotButton="0" quotePrefix="0" xfId="2">
      <alignment horizontal="left"/>
    </xf>
    <xf numFmtId="0" fontId="12" fillId="0" borderId="18" pivotButton="0" quotePrefix="0" xfId="2"/>
    <xf numFmtId="0" fontId="29" fillId="9" borderId="37" pivotButton="0" quotePrefix="0" xfId="2"/>
    <xf numFmtId="0" fontId="29" fillId="9" borderId="37" applyAlignment="1" pivotButton="0" quotePrefix="0" xfId="2">
      <alignment horizontal="right"/>
    </xf>
    <xf numFmtId="0" fontId="29" fillId="9" borderId="37" applyAlignment="1" pivotButton="0" quotePrefix="0" xfId="2">
      <alignment horizontal="left"/>
    </xf>
    <xf numFmtId="0" fontId="12" fillId="9" borderId="0" pivotButton="0" quotePrefix="0" xfId="2"/>
    <xf numFmtId="0" fontId="12" fillId="9" borderId="0" applyAlignment="1" pivotButton="0" quotePrefix="0" xfId="2">
      <alignment horizontal="right"/>
    </xf>
    <xf numFmtId="0" fontId="12" fillId="9" borderId="0" applyAlignment="1" pivotButton="0" quotePrefix="0" xfId="2">
      <alignment horizontal="left"/>
    </xf>
    <xf numFmtId="22" fontId="12" fillId="9" borderId="0" pivotButton="0" quotePrefix="0" xfId="2"/>
    <xf numFmtId="0" fontId="29" fillId="9" borderId="34" pivotButton="0" quotePrefix="0" xfId="2"/>
    <xf numFmtId="22" fontId="29" fillId="9" borderId="34" applyAlignment="1" pivotButton="0" quotePrefix="0" xfId="2">
      <alignment horizontal="left"/>
    </xf>
    <xf numFmtId="0" fontId="29" fillId="9" borderId="34" applyAlignment="1" pivotButton="0" quotePrefix="0" xfId="2">
      <alignment horizontal="right"/>
    </xf>
    <xf numFmtId="22" fontId="29" fillId="9" borderId="34" pivotButton="0" quotePrefix="0" xfId="2"/>
    <xf numFmtId="0" fontId="12" fillId="9" borderId="0" applyAlignment="1" pivotButton="0" quotePrefix="0" xfId="2">
      <alignment wrapText="1"/>
    </xf>
    <xf numFmtId="49" fontId="12" fillId="9" borderId="0" pivotButton="0" quotePrefix="0" xfId="2"/>
    <xf numFmtId="22" fontId="12" fillId="9" borderId="0" applyAlignment="1" pivotButton="0" quotePrefix="0" xfId="2">
      <alignment horizontal="left"/>
    </xf>
    <xf numFmtId="3" fontId="12" fillId="9" borderId="0" pivotButton="0" quotePrefix="0" xfId="2"/>
    <xf numFmtId="165" fontId="12" fillId="0" borderId="0" pivotButton="0" quotePrefix="0" xfId="2"/>
    <xf numFmtId="0" fontId="12" fillId="0" borderId="0" applyAlignment="1" pivotButton="0" quotePrefix="0" xfId="2">
      <alignment horizontal="left"/>
    </xf>
    <xf numFmtId="2" fontId="12" fillId="0" borderId="0" pivotButton="0" quotePrefix="0" xfId="2"/>
    <xf numFmtId="0" fontId="12" fillId="0" borderId="0" applyAlignment="1" pivotButton="0" quotePrefix="0" xfId="2">
      <alignment wrapText="1"/>
    </xf>
    <xf numFmtId="49" fontId="12" fillId="0" borderId="0" pivotButton="0" quotePrefix="0" xfId="2"/>
    <xf numFmtId="0" fontId="12" fillId="0" borderId="0" applyAlignment="1" pivotButton="0" quotePrefix="0" xfId="2">
      <alignment horizontal="right"/>
    </xf>
    <xf numFmtId="0" fontId="13" fillId="2" borderId="0" applyAlignment="1" pivotButton="0" quotePrefix="0" xfId="4">
      <alignment wrapText="1"/>
    </xf>
    <xf numFmtId="0" fontId="13" fillId="2" borderId="0" pivotButton="0" quotePrefix="0" xfId="4"/>
    <xf numFmtId="0" fontId="30" fillId="2" borderId="0" applyAlignment="1" pivotButton="0" quotePrefix="0" xfId="4">
      <alignment horizontal="center" wrapText="1"/>
    </xf>
    <xf numFmtId="0" fontId="27" fillId="2" borderId="0" applyAlignment="1" pivotButton="0" quotePrefix="0" xfId="4">
      <alignment wrapText="1"/>
    </xf>
    <xf numFmtId="0" fontId="27" fillId="2" borderId="0" pivotButton="0" quotePrefix="0" xfId="4"/>
    <xf numFmtId="17" fontId="13" fillId="2" borderId="0" applyAlignment="1" pivotButton="0" quotePrefix="1" xfId="4">
      <alignment horizontal="center" wrapText="1"/>
    </xf>
    <xf numFmtId="0" fontId="30" fillId="2" borderId="0" applyAlignment="1" pivotButton="0" quotePrefix="0" xfId="4">
      <alignment wrapText="1"/>
    </xf>
    <xf numFmtId="0" fontId="13" fillId="2" borderId="0" applyAlignment="1" pivotButton="0" quotePrefix="0" xfId="4">
      <alignment horizontal="left" wrapText="1" indent="2"/>
    </xf>
    <xf numFmtId="0" fontId="13" fillId="2" borderId="0" applyAlignment="1" pivotButton="0" quotePrefix="0" xfId="4">
      <alignment horizontal="justify" wrapText="1"/>
    </xf>
    <xf numFmtId="0" fontId="13" fillId="2" borderId="0" applyAlignment="1" pivotButton="0" quotePrefix="0" xfId="4">
      <alignment horizontal="left" wrapText="1"/>
    </xf>
    <xf numFmtId="0" fontId="13" fillId="2" borderId="0" applyAlignment="1" pivotButton="0" quotePrefix="0" xfId="4">
      <alignment horizontal="justify"/>
    </xf>
    <xf numFmtId="0" fontId="30" fillId="2" borderId="0" applyAlignment="1" pivotButton="0" quotePrefix="0" xfId="4">
      <alignment horizontal="justify" wrapText="1"/>
    </xf>
    <xf numFmtId="0" fontId="31" fillId="2" borderId="0" applyAlignment="1" pivotButton="0" quotePrefix="0" xfId="4">
      <alignment horizontal="justify" wrapText="1"/>
    </xf>
    <xf numFmtId="0" fontId="27" fillId="2" borderId="0" applyAlignment="1" pivotButton="0" quotePrefix="0" xfId="4">
      <alignment horizontal="justify"/>
    </xf>
    <xf numFmtId="0" fontId="12" fillId="2" borderId="0" applyAlignment="1" applyProtection="1" pivotButton="0" quotePrefix="0" xfId="4">
      <alignment horizontal="justify" wrapText="1"/>
      <protection locked="0" hidden="0"/>
    </xf>
    <xf numFmtId="0" fontId="24" fillId="2" borderId="0" applyAlignment="1" pivotButton="0" quotePrefix="0" xfId="4">
      <alignment horizontal="center" wrapText="1"/>
    </xf>
    <xf numFmtId="0" fontId="14" fillId="2" borderId="0" applyAlignment="1" pivotButton="0" quotePrefix="0" xfId="4">
      <alignment horizontal="left" wrapText="1"/>
    </xf>
    <xf numFmtId="0" fontId="14" fillId="2" borderId="0" applyAlignment="1" pivotButton="0" quotePrefix="0" xfId="4">
      <alignment horizontal="left"/>
    </xf>
    <xf numFmtId="0" fontId="32" fillId="2" borderId="0" applyAlignment="1" pivotButton="0" quotePrefix="0" xfId="4">
      <alignment wrapText="1"/>
    </xf>
    <xf numFmtId="0" fontId="32" fillId="2" borderId="0" applyAlignment="1" applyProtection="1" pivotButton="0" quotePrefix="0" xfId="4">
      <alignment wrapText="1"/>
      <protection locked="0" hidden="0"/>
    </xf>
    <xf numFmtId="0" fontId="32" fillId="2" borderId="0" applyAlignment="1" applyProtection="1" pivotButton="0" quotePrefix="0" xfId="4">
      <alignment horizontal="center" wrapText="1"/>
      <protection locked="0" hidden="0"/>
    </xf>
    <xf numFmtId="0" fontId="13" fillId="2" borderId="0" applyAlignment="1" applyProtection="1" pivotButton="0" quotePrefix="0" xfId="4">
      <alignment wrapText="1"/>
      <protection locked="0" hidden="0"/>
    </xf>
    <xf numFmtId="22" fontId="12" fillId="9" borderId="18" pivotButton="0" quotePrefix="0" xfId="2"/>
    <xf numFmtId="0" fontId="3" fillId="3" borderId="41" applyAlignment="1" pivotButton="0" quotePrefix="0" xfId="0">
      <alignment horizontal="center"/>
    </xf>
    <xf numFmtId="0" fontId="0" fillId="0" borderId="2" pivotButton="0" quotePrefix="0" xfId="0"/>
    <xf numFmtId="0" fontId="0" fillId="0" borderId="3" pivotButton="0" quotePrefix="0" xfId="0"/>
    <xf numFmtId="0" fontId="4" fillId="3" borderId="39" applyAlignment="1" pivotButton="0" quotePrefix="0" xfId="0">
      <alignment horizontal="center"/>
    </xf>
    <xf numFmtId="0" fontId="0" fillId="0" borderId="5" pivotButton="0" quotePrefix="0" xfId="0"/>
    <xf numFmtId="0" fontId="6" fillId="3" borderId="40"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11" pivotButton="0" quotePrefix="0" xfId="0"/>
    <xf numFmtId="14" fontId="5" fillId="0" borderId="18" applyAlignment="1" applyProtection="1" pivotButton="0" quotePrefix="0" xfId="0">
      <alignment horizontal="center"/>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0" borderId="14" applyProtection="1" pivotButton="0" quotePrefix="0" xfId="0">
      <protection locked="0" hidden="0"/>
    </xf>
    <xf numFmtId="0" fontId="5" fillId="3" borderId="26" pivotButton="0" quotePrefix="0" xfId="0"/>
    <xf numFmtId="0" fontId="0" fillId="0" borderId="16" pivotButton="0" quotePrefix="0" xfId="0"/>
    <xf numFmtId="0" fontId="0" fillId="0" borderId="17" pivotButton="0" quotePrefix="0" xfId="0"/>
    <xf numFmtId="0" fontId="5" fillId="5" borderId="19" pivotButton="0" quotePrefix="0" xfId="0"/>
    <xf numFmtId="0" fontId="5" fillId="5" borderId="18" pivotButton="0" quotePrefix="0" xfId="0"/>
    <xf numFmtId="0" fontId="7" fillId="3" borderId="39" applyAlignment="1" pivotButton="0" quotePrefix="0" xfId="0">
      <alignment horizontal="center"/>
    </xf>
    <xf numFmtId="0" fontId="6" fillId="3" borderId="39" pivotButton="0" quotePrefix="0" xfId="0"/>
    <xf numFmtId="0" fontId="10" fillId="3" borderId="40" pivotButton="0" quotePrefix="0" xfId="0"/>
    <xf numFmtId="0" fontId="0" fillId="0" borderId="6" pivotButton="0" quotePrefix="0" xfId="0"/>
    <xf numFmtId="0" fontId="0" fillId="0" borderId="22" pivotButton="0" quotePrefix="0" xfId="0"/>
    <xf numFmtId="0" fontId="0" fillId="0" borderId="21" pivotButton="0" quotePrefix="0" xfId="0"/>
    <xf numFmtId="0" fontId="5" fillId="3" borderId="19" applyAlignment="1" pivotButton="0" quotePrefix="0" xfId="0">
      <alignment wrapText="1"/>
    </xf>
    <xf numFmtId="0" fontId="5" fillId="3" borderId="19" applyAlignment="1" pivotButton="0" quotePrefix="0" xfId="0">
      <alignment horizontal="left" vertical="top" wrapText="1"/>
    </xf>
    <xf numFmtId="0" fontId="5" fillId="4" borderId="20" applyAlignment="1" applyProtection="1" pivotButton="0" quotePrefix="0" xfId="0">
      <alignment horizontal="center" wrapText="1"/>
      <protection locked="0" hidden="0"/>
    </xf>
    <xf numFmtId="0" fontId="5" fillId="3" borderId="18" applyAlignment="1" applyProtection="1" pivotButton="0" quotePrefix="0" xfId="0">
      <alignment horizontal="center"/>
      <protection locked="0" hidden="0"/>
    </xf>
    <xf numFmtId="0" fontId="5" fillId="4" borderId="20" applyAlignment="1" applyProtection="1" pivotButton="0" quotePrefix="0" xfId="0">
      <alignment horizontal="center"/>
      <protection locked="0" hidden="0"/>
    </xf>
    <xf numFmtId="0" fontId="0" fillId="0" borderId="2" applyProtection="1" pivotButton="0" quotePrefix="0" xfId="0">
      <protection locked="0" hidden="0"/>
    </xf>
    <xf numFmtId="0" fontId="14" fillId="3" borderId="41" applyAlignment="1" pivotButton="0" quotePrefix="0" xfId="0">
      <alignment horizontal="center"/>
    </xf>
    <xf numFmtId="0" fontId="14" fillId="3" borderId="39" applyAlignment="1" pivotButton="0" quotePrefix="0" xfId="0">
      <alignment horizontal="center"/>
    </xf>
    <xf numFmtId="0" fontId="15" fillId="3" borderId="39" applyAlignment="1" pivotButton="0" quotePrefix="0" xfId="0">
      <alignment horizontal="center"/>
    </xf>
    <xf numFmtId="0" fontId="14" fillId="6" borderId="18" pivotButton="0" quotePrefix="0" xfId="2"/>
  </cellXfs>
  <cellStyles count="5">
    <cellStyle name="Normal" xfId="0" builtinId="0"/>
    <cellStyle name="Comma" xfId="1" builtinId="3"/>
    <cellStyle name="Normal_40710_REG_H0310_020447_E00125_Dec11" xfId="2"/>
    <cellStyle name="Comma_40710_REG_H0310_020447_E00125_Dec11" xfId="3"/>
    <cellStyle name="Normal_Book2" xfId="4"/>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externalLink" Target="/xl/externalLinks/externalLink1.xml" Id="rId6" /><Relationship Type="http://schemas.openxmlformats.org/officeDocument/2006/relationships/externalLink" Target="/xl/externalLinks/externalLink2.xml" Id="rId7" /><Relationship Type="http://schemas.openxmlformats.org/officeDocument/2006/relationships/externalLink" Target="/xl/externalLinks/externalLink3.xml" Id="rId8" /><Relationship Type="http://schemas.openxmlformats.org/officeDocument/2006/relationships/styles" Target="styles.xml" Id="rId9" /><Relationship Type="http://schemas.openxmlformats.org/officeDocument/2006/relationships/theme" Target="theme/theme1.xml" Id="rId10" /></Relationships>
</file>

<file path=xl/externalLinks/_rels/externalLink1.xml.rels><Relationships xmlns="http://schemas.openxmlformats.org/package/2006/relationships"><Relationship Type="http://schemas.openxmlformats.org/officeDocument/2006/relationships/externalLinkPath" Target="https://myoffice.accenture.com/personal/aamna_afreen_accenture_com/Documents/BILLING/FEBRUARY%202025/RIR_GC_APAC_NON-CORP_FEBRUARY25.xlsx" TargetMode="External" Id="rId2" /></Relationships>
</file>

<file path=xl/externalLinks/_rels/externalLink2.xml.rels><Relationships xmlns="http://schemas.openxmlformats.org/package/2006/relationships"><Relationship Type="http://schemas.openxmlformats.org/officeDocument/2006/relationships/externalLinkPath" Target="/Documents%20and%20Settings/kumariv/My%20Documents/Downloads/40710_REG_H0310_020447_E00125_Dec11.xls" TargetMode="External" Id="rId1" /></Relationships>
</file>

<file path=xl/externalLinks/_rels/externalLink3.xml.rels><Relationships xmlns="http://schemas.openxmlformats.org/package/2006/relationships"><Relationship Type="http://schemas.openxmlformats.org/officeDocument/2006/relationships/externalLinkPath" Target="/Documents%20and%20Settings/vigka/My%20Documents/Downloads/RIR%20updated.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Recharge Form"/>
      <sheetName val="Multiple Hotels"/>
      <sheetName val="upload sheet"/>
      <sheetName val="Asia Pac Policy"/>
      <sheetName val="Global Policy"/>
    </sheetNames>
    <sheetDataSet>
      <sheetData sheetId="0" refreshError="1">
        <row r="33">
          <cell r="M33" t="str">
            <v>Please refer to upload worksheet</v>
          </cell>
        </row>
      </sheetData>
      <sheetData sheetId="1" refreshError="1">
        <row r="32">
          <cell r="H32">
            <v>0</v>
          </cell>
          <cell r="J32">
            <v>0</v>
          </cell>
        </row>
      </sheetData>
      <sheetData sheetId="2" refreshError="1"/>
      <sheetData sheetId="3" refreshError="1"/>
      <sheetData sheetId="4"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Billing Misc Upload"/>
      <sheetName val="Currency Codes"/>
      <sheetName val="How to Refresh Currency Codes"/>
      <sheetName val="Module1"/>
      <sheetName val="m3TierBatch"/>
      <sheetName val="dFileName"/>
      <sheetName val="40710_REG_H0310_020447_E00125_D"/>
    </sheetNames>
    <definedNames>
      <definedName name="ProcessDate"/>
      <definedName name="ProcessDefaults"/>
      <definedName name="SaveCSV"/>
    </defined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Recharge Form"/>
      <sheetName val="Multiple Hotels"/>
      <sheetName val="Recharge Guidelines"/>
      <sheetName val="Global Policy"/>
      <sheetName val="Billing Identifier Group"/>
      <sheetName val="Sample Billing Misc Upload"/>
    </sheetNames>
    <sheetDataSet>
      <sheetData sheetId="0" refreshError="1"/>
      <sheetData sheetId="1" refreshError="1"/>
      <sheetData sheetId="2" refreshError="1"/>
      <sheetData sheetId="3" refreshError="1"/>
      <sheetData sheetId="4" refreshError="1"/>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G38"/>
  <sheetViews>
    <sheetView topLeftCell="D2" workbookViewId="0">
      <selection activeCell="F9" sqref="F9:J9"/>
    </sheetView>
  </sheetViews>
  <sheetFormatPr baseColWidth="8" defaultColWidth="9.1796875" defaultRowHeight="24" customHeight="1"/>
  <cols>
    <col width="2.7265625" customWidth="1" style="100" min="1" max="4"/>
    <col width="17.26953125" customWidth="1" style="100" min="5" max="5"/>
    <col width="2.7265625" customWidth="1" style="100" min="6" max="7"/>
    <col width="2.81640625" customWidth="1" style="100" min="8" max="8"/>
    <col width="2.7265625" customWidth="1" style="100" min="9" max="9"/>
    <col width="49.1796875" customWidth="1" style="100" min="10" max="10"/>
    <col width="2.7265625" customWidth="1" style="100" min="11" max="12"/>
    <col width="41.1796875" customWidth="1" style="100" min="13" max="13"/>
    <col width="2.7265625" customWidth="1" style="100" min="14" max="14"/>
    <col width="10.54296875" customWidth="1" style="100" min="15" max="15"/>
    <col width="2.7265625" customWidth="1" style="100" min="16" max="25"/>
    <col width="9" bestFit="1" customWidth="1" style="100" min="26" max="26"/>
    <col width="2.7265625" customWidth="1" style="100" min="27" max="32"/>
    <col width="21.26953125" customWidth="1" style="100" min="33" max="33"/>
    <col width="2.7265625" customWidth="1" style="100" min="34" max="35"/>
    <col width="9.1796875" customWidth="1" style="100" min="36" max="16384"/>
  </cols>
  <sheetData>
    <row r="1" ht="18" customFormat="1" customHeight="1" s="1">
      <c r="N1" s="1" t="inlineStr">
        <is>
          <t>Please complete all unshaded boxes, attached with backups</t>
        </is>
      </c>
    </row>
    <row r="2" ht="18" customFormat="1" customHeight="1" s="1">
      <c r="N2" s="1" t="inlineStr">
        <is>
          <t>and Email: Asia.remit@ihg.com</t>
        </is>
      </c>
    </row>
    <row r="3" ht="18" customFormat="1" customHeight="1" s="1"/>
    <row r="4" ht="18" customFormat="1" customHeight="1" s="1" thickBot="1"/>
    <row r="5" ht="24" customFormat="1" customHeight="1" s="1" thickTop="1">
      <c r="A5" s="293" t="inlineStr">
        <is>
          <t xml:space="preserve">(RIR) RECHARGE INVOICE REQUISITION FORM    </t>
        </is>
      </c>
      <c r="B5" s="294" t="n"/>
      <c r="C5" s="294" t="n"/>
      <c r="D5" s="294" t="n"/>
      <c r="E5" s="294" t="n"/>
      <c r="F5" s="294" t="n"/>
      <c r="G5" s="294" t="n"/>
      <c r="H5" s="294" t="n"/>
      <c r="I5" s="294" t="n"/>
      <c r="J5" s="294" t="n"/>
      <c r="K5" s="294" t="n"/>
      <c r="L5" s="294" t="n"/>
      <c r="M5" s="294" t="n"/>
      <c r="N5" s="294" t="n"/>
      <c r="O5" s="294" t="n"/>
      <c r="P5" s="294" t="n"/>
      <c r="Q5" s="294" t="n"/>
      <c r="R5" s="294" t="n"/>
      <c r="S5" s="294" t="n"/>
      <c r="T5" s="294" t="n"/>
      <c r="U5" s="294" t="n"/>
      <c r="V5" s="294" t="n"/>
      <c r="W5" s="294" t="n"/>
      <c r="X5" s="294" t="n"/>
      <c r="Y5" s="294" t="n"/>
      <c r="Z5" s="294" t="n"/>
      <c r="AA5" s="294" t="n"/>
      <c r="AB5" s="294" t="n"/>
      <c r="AC5" s="294" t="n"/>
      <c r="AD5" s="294" t="n"/>
      <c r="AE5" s="294" t="n"/>
      <c r="AF5" s="294" t="n"/>
      <c r="AG5" s="295" t="n"/>
    </row>
    <row r="6" ht="18" customFormat="1" customHeight="1" s="8">
      <c r="A6" s="296" t="inlineStr">
        <is>
          <t>Note - Only Items over USD$200 will be recharged</t>
        </is>
      </c>
      <c r="AG6" s="297" t="n"/>
    </row>
    <row r="7" ht="24" customFormat="1" customHeight="1" s="8">
      <c r="A7" s="298" t="inlineStr">
        <is>
          <t>Section A - Initiator's Details:</t>
        </is>
      </c>
      <c r="B7" s="299" t="n"/>
      <c r="C7" s="299" t="n"/>
      <c r="D7" s="299" t="n"/>
      <c r="E7" s="299" t="n"/>
      <c r="F7" s="299" t="n"/>
      <c r="G7" s="299" t="n"/>
      <c r="H7" s="299" t="n"/>
      <c r="I7" s="299" t="n"/>
      <c r="J7" s="299" t="n"/>
      <c r="K7" s="299" t="n"/>
      <c r="L7" s="299" t="n"/>
      <c r="M7" s="299" t="n"/>
      <c r="N7" s="299" t="n"/>
      <c r="O7" s="299" t="n"/>
      <c r="P7" s="299" t="n"/>
      <c r="Q7" s="299" t="n"/>
      <c r="R7" s="299" t="n"/>
      <c r="S7" s="299" t="n"/>
      <c r="T7" s="299" t="n"/>
      <c r="U7" s="299" t="n"/>
      <c r="V7" s="299" t="n"/>
      <c r="W7" s="299" t="n"/>
      <c r="X7" s="299" t="n"/>
      <c r="Y7" s="299" t="n"/>
      <c r="Z7" s="299" t="n"/>
      <c r="AA7" s="299" t="n"/>
      <c r="AB7" s="299" t="n"/>
      <c r="AC7" s="299" t="n"/>
      <c r="AD7" s="299" t="n"/>
      <c r="AE7" s="299" t="n"/>
      <c r="AF7" s="299" t="n"/>
      <c r="AG7" s="300" t="n"/>
    </row>
    <row r="8" ht="24" customFormat="1" customHeight="1" s="8">
      <c r="A8" s="64" t="inlineStr">
        <is>
          <t>Date:</t>
        </is>
      </c>
      <c r="B8" s="301" t="n"/>
      <c r="C8" s="301" t="n"/>
      <c r="D8" s="302" t="n"/>
      <c r="E8" s="15" t="inlineStr">
        <is>
          <t>Todays Date</t>
        </is>
      </c>
      <c r="F8" s="303" t="inlineStr">
        <is>
          <t>4/24/2026</t>
        </is>
      </c>
      <c r="G8" s="304" t="n"/>
      <c r="H8" s="304" t="n"/>
      <c r="I8" s="304" t="n"/>
      <c r="J8" s="305" t="n"/>
      <c r="K8" s="65" t="inlineStr">
        <is>
          <t xml:space="preserve">Name: </t>
        </is>
      </c>
      <c r="L8" s="301" t="n"/>
      <c r="M8" s="301" t="n"/>
      <c r="N8" s="302" t="n"/>
      <c r="O8" s="89" t="inlineStr">
        <is>
          <t>GenWizard_Automation</t>
        </is>
      </c>
      <c r="P8" s="304" t="n"/>
      <c r="Q8" s="304" t="n"/>
      <c r="R8" s="304" t="n"/>
      <c r="S8" s="304" t="n"/>
      <c r="T8" s="304" t="n"/>
      <c r="U8" s="304" t="n"/>
      <c r="V8" s="304" t="n"/>
      <c r="W8" s="304" t="n"/>
      <c r="X8" s="304" t="n"/>
      <c r="Y8" s="304" t="n"/>
      <c r="Z8" s="304" t="n"/>
      <c r="AA8" s="304" t="n"/>
      <c r="AB8" s="304" t="n"/>
      <c r="AC8" s="304" t="n"/>
      <c r="AD8" s="304" t="n"/>
      <c r="AE8" s="304" t="n"/>
      <c r="AF8" s="304" t="n"/>
      <c r="AG8" s="306" t="n"/>
    </row>
    <row r="9" ht="24" customFormat="1" customHeight="1" s="8">
      <c r="A9" s="307" t="inlineStr">
        <is>
          <t>GL Unit:</t>
        </is>
      </c>
      <c r="B9" s="308" t="n"/>
      <c r="C9" s="308" t="n"/>
      <c r="D9" s="309" t="n"/>
      <c r="E9" s="26" t="n"/>
      <c r="F9" s="68" t="inlineStr">
        <is>
          <t xml:space="preserve">Please refer upload worksheet. </t>
        </is>
      </c>
      <c r="G9" s="304" t="n"/>
      <c r="H9" s="304" t="n"/>
      <c r="I9" s="304" t="n"/>
      <c r="J9" s="305" t="n"/>
      <c r="K9" s="65" t="inlineStr">
        <is>
          <t>Account:</t>
        </is>
      </c>
      <c r="L9" s="301" t="n"/>
      <c r="M9" s="301" t="n"/>
      <c r="N9" s="302" t="n"/>
      <c r="O9" s="26" t="n"/>
      <c r="P9" s="68" t="n"/>
      <c r="Q9" s="304" t="n"/>
      <c r="R9" s="304" t="n"/>
      <c r="S9" s="304" t="n"/>
      <c r="T9" s="304" t="n"/>
      <c r="U9" s="305" t="n"/>
      <c r="V9" s="65" t="inlineStr">
        <is>
          <t>DeptID:</t>
        </is>
      </c>
      <c r="W9" s="301" t="n"/>
      <c r="X9" s="301" t="n"/>
      <c r="Y9" s="302" t="n"/>
      <c r="Z9" s="26" t="n"/>
      <c r="AA9" s="68" t="n"/>
      <c r="AB9" s="304" t="n"/>
      <c r="AC9" s="304" t="n"/>
      <c r="AD9" s="304" t="n"/>
      <c r="AE9" s="304" t="n"/>
      <c r="AF9" s="304" t="n"/>
      <c r="AG9" s="305" t="n"/>
    </row>
    <row r="10" ht="24" customFormat="1" customHeight="1" s="8">
      <c r="A10" s="310" t="inlineStr">
        <is>
          <t>Workflow approve only</t>
        </is>
      </c>
      <c r="B10" s="301" t="n"/>
      <c r="C10" s="301" t="n"/>
      <c r="D10" s="301" t="n"/>
      <c r="E10" s="301" t="n"/>
      <c r="F10" s="301" t="n"/>
      <c r="G10" s="301" t="n"/>
      <c r="H10" s="301" t="n"/>
      <c r="I10" s="301" t="n"/>
      <c r="J10" s="302" t="n"/>
      <c r="K10" s="311" t="inlineStr">
        <is>
          <t>AP Unit:</t>
        </is>
      </c>
      <c r="L10" s="301" t="n"/>
      <c r="M10" s="301" t="n"/>
      <c r="N10" s="302" t="n"/>
      <c r="O10" s="68" t="n"/>
      <c r="P10" s="304" t="n"/>
      <c r="Q10" s="304" t="n"/>
      <c r="R10" s="304" t="n"/>
      <c r="S10" s="304" t="n"/>
      <c r="T10" s="304" t="n"/>
      <c r="U10" s="305" t="n"/>
      <c r="V10" s="311" t="inlineStr">
        <is>
          <t xml:space="preserve">Voucher: </t>
        </is>
      </c>
      <c r="W10" s="301" t="n"/>
      <c r="X10" s="301" t="n"/>
      <c r="Y10" s="302" t="n"/>
      <c r="Z10" s="89" t="n"/>
      <c r="AA10" s="304" t="n"/>
      <c r="AB10" s="304" t="n"/>
      <c r="AC10" s="304" t="n"/>
      <c r="AD10" s="304" t="n"/>
      <c r="AE10" s="304" t="n"/>
      <c r="AF10" s="304" t="n"/>
      <c r="AG10" s="306" t="n"/>
    </row>
    <row r="11" ht="18" customFormat="1" customHeight="1" s="8">
      <c r="A11" s="312" t="n"/>
      <c r="AG11" s="297" t="n"/>
    </row>
    <row r="12" ht="24" customFormat="1" customHeight="1" s="8">
      <c r="A12" s="313" t="inlineStr">
        <is>
          <t>Section B - Recharge To (please mark X):</t>
        </is>
      </c>
      <c r="AG12" s="297" t="n"/>
    </row>
    <row r="13" ht="24" customFormat="1" customHeight="1" s="8">
      <c r="A13" s="40" t="n"/>
      <c r="B13" s="41" t="inlineStr">
        <is>
          <t>Hotel</t>
        </is>
      </c>
      <c r="C13" s="42" t="n"/>
      <c r="D13" s="42" t="n"/>
      <c r="E13" s="42" t="n"/>
      <c r="F13" s="42" t="n"/>
      <c r="G13" s="42" t="n"/>
      <c r="H13" s="42" t="n"/>
      <c r="I13" s="42" t="n"/>
      <c r="J13" s="42" t="n"/>
      <c r="K13" s="41" t="inlineStr">
        <is>
          <t>Inter-Region</t>
        </is>
      </c>
      <c r="L13" s="42" t="n"/>
      <c r="M13" s="42" t="n"/>
      <c r="N13" s="41" t="n"/>
      <c r="O13" s="42" t="n"/>
      <c r="P13" s="42" t="n"/>
      <c r="Q13" s="42" t="n"/>
      <c r="R13" s="42" t="n"/>
      <c r="S13" s="42" t="n"/>
      <c r="T13" s="42" t="n"/>
      <c r="U13" s="42" t="n"/>
      <c r="V13" s="41" t="inlineStr">
        <is>
          <t>Satellite Offices</t>
        </is>
      </c>
      <c r="W13" s="42" t="n"/>
      <c r="X13" s="42" t="n"/>
      <c r="Y13" s="42" t="n"/>
      <c r="Z13" s="42" t="n"/>
      <c r="AA13" s="42" t="n"/>
      <c r="AB13" s="42" t="n"/>
      <c r="AC13" s="42" t="n"/>
      <c r="AD13" s="42" t="n"/>
      <c r="AE13" s="42" t="n"/>
      <c r="AF13" s="42" t="n"/>
      <c r="AG13" s="43" t="n"/>
    </row>
    <row r="14" ht="7.5" customFormat="1" customHeight="1" s="8">
      <c r="A14" s="44" t="n"/>
      <c r="B14" s="42" t="n"/>
      <c r="C14" s="42" t="n"/>
      <c r="D14" s="42" t="n"/>
      <c r="E14" s="42" t="n"/>
      <c r="F14" s="42" t="n"/>
      <c r="G14" s="42" t="n"/>
      <c r="H14" s="42" t="n"/>
      <c r="I14" s="42" t="n"/>
      <c r="J14" s="42" t="n"/>
      <c r="K14" s="42" t="n"/>
      <c r="L14" s="42" t="n"/>
      <c r="M14" s="42" t="n"/>
      <c r="N14" s="42" t="n"/>
      <c r="O14" s="42" t="n"/>
      <c r="P14" s="42" t="n"/>
      <c r="Q14" s="42" t="n"/>
      <c r="R14" s="42" t="n"/>
      <c r="S14" s="42" t="n"/>
      <c r="T14" s="42" t="n"/>
      <c r="U14" s="42" t="n"/>
      <c r="V14" s="42" t="n"/>
      <c r="W14" s="42" t="n"/>
      <c r="X14" s="42" t="n"/>
      <c r="Y14" s="42" t="n"/>
      <c r="Z14" s="42" t="n"/>
      <c r="AA14" s="42" t="n"/>
      <c r="AB14" s="42" t="n"/>
      <c r="AC14" s="42" t="n"/>
      <c r="AD14" s="42" t="n"/>
      <c r="AE14" s="42" t="n"/>
      <c r="AF14" s="42" t="n"/>
      <c r="AG14" s="43" t="n"/>
    </row>
    <row r="15" ht="18" customFormat="1" customHeight="1" s="8">
      <c r="A15" s="44" t="n"/>
      <c r="B15" s="45" t="inlineStr">
        <is>
          <t>x</t>
        </is>
      </c>
      <c r="C15" s="42" t="inlineStr">
        <is>
          <t>Hotel</t>
        </is>
      </c>
      <c r="D15" s="42" t="n"/>
      <c r="E15" s="42" t="n"/>
      <c r="F15" s="42" t="n"/>
      <c r="G15" s="42" t="n"/>
      <c r="H15" s="42" t="n"/>
      <c r="I15" s="42" t="n"/>
      <c r="J15" s="42" t="n"/>
      <c r="K15" s="46" t="n"/>
      <c r="L15" s="42" t="inlineStr">
        <is>
          <t>EMEA</t>
        </is>
      </c>
      <c r="M15" s="42" t="n"/>
      <c r="N15" s="42" t="n"/>
      <c r="O15" s="42" t="n"/>
      <c r="P15" s="42" t="n"/>
      <c r="Q15" s="42" t="n"/>
      <c r="R15" s="42" t="n"/>
      <c r="S15" s="42" t="n"/>
      <c r="T15" s="42" t="n"/>
      <c r="U15" s="42" t="n"/>
      <c r="V15" s="46" t="n"/>
      <c r="W15" s="42" t="inlineStr">
        <is>
          <t>India</t>
        </is>
      </c>
      <c r="X15" s="42" t="n"/>
      <c r="Y15" s="42" t="n"/>
      <c r="Z15" s="42" t="n"/>
      <c r="AA15" s="42" t="n"/>
      <c r="AB15" s="42" t="n"/>
      <c r="AC15" s="42" t="n"/>
      <c r="AD15" s="42" t="n"/>
      <c r="AE15" s="42" t="n"/>
      <c r="AF15" s="42" t="n"/>
      <c r="AG15" s="43" t="n"/>
    </row>
    <row r="16" ht="7.5" customFormat="1" customHeight="1" s="8">
      <c r="A16" s="44" t="n"/>
      <c r="B16" s="42" t="n"/>
      <c r="C16" s="42" t="n"/>
      <c r="D16" s="42" t="n"/>
      <c r="E16" s="42" t="n"/>
      <c r="F16" s="42" t="n"/>
      <c r="G16" s="42" t="n"/>
      <c r="H16" s="42" t="n"/>
      <c r="I16" s="42" t="n"/>
      <c r="J16" s="42" t="n"/>
      <c r="K16" s="42" t="n"/>
      <c r="L16" s="42" t="n"/>
      <c r="M16" s="42" t="n"/>
      <c r="N16" s="42" t="n"/>
      <c r="O16" s="42" t="n"/>
      <c r="P16" s="42" t="n"/>
      <c r="Q16" s="42" t="n"/>
      <c r="R16" s="42" t="n"/>
      <c r="S16" s="42" t="n"/>
      <c r="T16" s="42" t="n"/>
      <c r="U16" s="42" t="n"/>
      <c r="V16" s="42" t="n"/>
      <c r="W16" s="42" t="n"/>
      <c r="X16" s="42" t="n"/>
      <c r="Y16" s="42" t="n"/>
      <c r="Z16" s="42" t="n"/>
      <c r="AA16" s="42" t="n"/>
      <c r="AB16" s="42" t="n"/>
      <c r="AC16" s="42" t="n"/>
      <c r="AD16" s="42" t="n"/>
      <c r="AE16" s="42" t="n"/>
      <c r="AF16" s="42" t="n"/>
      <c r="AG16" s="43" t="n"/>
    </row>
    <row r="17" ht="18" customFormat="1" customHeight="1" s="8">
      <c r="A17" s="44" t="n"/>
      <c r="B17" s="42" t="n"/>
      <c r="C17" s="42" t="n"/>
      <c r="D17" s="42" t="n"/>
      <c r="E17" s="42" t="n"/>
      <c r="F17" s="42" t="n"/>
      <c r="G17" s="42" t="n"/>
      <c r="H17" s="42" t="n"/>
      <c r="I17" s="42" t="n"/>
      <c r="J17" s="42" t="n"/>
      <c r="K17" s="46" t="n"/>
      <c r="L17" s="42" t="inlineStr">
        <is>
          <t>Americas</t>
        </is>
      </c>
      <c r="M17" s="42" t="n"/>
      <c r="N17" s="42" t="n"/>
      <c r="O17" s="42" t="n"/>
      <c r="P17" s="42" t="n"/>
      <c r="Q17" s="42" t="n"/>
      <c r="R17" s="42" t="n"/>
      <c r="S17" s="42" t="n"/>
      <c r="T17" s="42" t="n"/>
      <c r="U17" s="42" t="n"/>
      <c r="V17" s="47" t="n"/>
      <c r="W17" s="42" t="inlineStr">
        <is>
          <t>China</t>
        </is>
      </c>
      <c r="X17" s="42" t="n"/>
      <c r="Y17" s="42" t="n"/>
      <c r="Z17" s="42" t="n"/>
      <c r="AA17" s="42" t="n"/>
      <c r="AB17" s="42" t="n"/>
      <c r="AC17" s="42" t="n"/>
      <c r="AD17" s="42" t="n"/>
      <c r="AE17" s="42" t="n"/>
      <c r="AF17" s="42" t="n"/>
      <c r="AG17" s="43" t="n"/>
    </row>
    <row r="18" ht="7.5" customFormat="1" customHeight="1" s="8">
      <c r="A18" s="44" t="n"/>
      <c r="B18" s="42" t="n"/>
      <c r="C18" s="42" t="n"/>
      <c r="D18" s="42" t="n"/>
      <c r="E18" s="42" t="n"/>
      <c r="F18" s="42" t="n"/>
      <c r="G18" s="42" t="n"/>
      <c r="H18" s="42" t="n"/>
      <c r="I18" s="42" t="n"/>
      <c r="J18" s="42" t="n"/>
      <c r="K18" s="42" t="n"/>
      <c r="L18" s="42" t="n"/>
      <c r="M18" s="42" t="n"/>
      <c r="N18" s="42" t="n"/>
      <c r="O18" s="42" t="n"/>
      <c r="P18" s="42" t="n"/>
      <c r="Q18" s="42" t="n"/>
      <c r="R18" s="42" t="n"/>
      <c r="S18" s="42" t="n"/>
      <c r="T18" s="42" t="n"/>
      <c r="U18" s="42" t="n"/>
      <c r="V18" s="42" t="n"/>
      <c r="W18" s="42" t="n"/>
      <c r="X18" s="42" t="n"/>
      <c r="Y18" s="42" t="n"/>
      <c r="Z18" s="42" t="n"/>
      <c r="AA18" s="42" t="n"/>
      <c r="AB18" s="42" t="n"/>
      <c r="AC18" s="42" t="n"/>
      <c r="AD18" s="42" t="n"/>
      <c r="AE18" s="42" t="n"/>
      <c r="AF18" s="42" t="n"/>
      <c r="AG18" s="43" t="n"/>
    </row>
    <row r="19" ht="18.75" customFormat="1" customHeight="1" s="8">
      <c r="A19" s="44" t="n"/>
      <c r="B19" s="42" t="n"/>
      <c r="C19" s="42" t="n"/>
      <c r="D19" s="42" t="n"/>
      <c r="E19" s="42" t="n"/>
      <c r="F19" s="42" t="n"/>
      <c r="G19" s="42" t="n"/>
      <c r="H19" s="42" t="n"/>
      <c r="I19" s="42" t="n"/>
      <c r="J19" s="42" t="n"/>
      <c r="K19" s="42" t="n"/>
      <c r="L19" s="42" t="n"/>
      <c r="M19" s="42" t="n"/>
      <c r="N19" s="42" t="n"/>
      <c r="O19" s="42" t="n"/>
      <c r="P19" s="42" t="n"/>
      <c r="Q19" s="42" t="n"/>
      <c r="R19" s="42" t="n"/>
      <c r="S19" s="42" t="n"/>
      <c r="T19" s="42" t="n"/>
      <c r="U19" s="42" t="n"/>
      <c r="V19" s="45" t="n"/>
      <c r="W19" s="42" t="inlineStr">
        <is>
          <t>Other/Corporate</t>
        </is>
      </c>
      <c r="X19" s="42" t="n"/>
      <c r="Y19" s="42" t="n"/>
      <c r="Z19" s="42" t="n"/>
      <c r="AA19" s="42" t="n"/>
      <c r="AB19" s="42" t="n"/>
      <c r="AC19" s="42" t="n"/>
      <c r="AD19" s="42" t="n"/>
      <c r="AE19" s="42" t="n"/>
      <c r="AF19" s="42" t="n"/>
      <c r="AG19" s="43" t="n"/>
    </row>
    <row r="20" ht="24.75" customFormat="1" customHeight="1" s="8">
      <c r="A20" s="313" t="inlineStr">
        <is>
          <t>Section C - Recipient's Details:</t>
        </is>
      </c>
      <c r="AG20" s="297" t="n"/>
    </row>
    <row r="21" ht="18" customFormat="1" customHeight="1" s="8">
      <c r="A21" s="314" t="inlineStr">
        <is>
          <t>For multiple Hotels Please fill in next Page</t>
        </is>
      </c>
      <c r="B21" s="299" t="n"/>
      <c r="C21" s="299" t="n"/>
      <c r="D21" s="299" t="n"/>
      <c r="E21" s="299" t="n"/>
      <c r="F21" s="299" t="n"/>
      <c r="G21" s="299" t="n"/>
      <c r="H21" s="299" t="n"/>
      <c r="I21" s="299" t="n"/>
      <c r="J21" s="299" t="n"/>
      <c r="K21" s="299" t="n"/>
      <c r="L21" s="299" t="n"/>
      <c r="M21" s="299" t="n"/>
      <c r="N21" s="299" t="n"/>
      <c r="O21" s="299" t="n"/>
      <c r="P21" s="299" t="n"/>
      <c r="Q21" s="299" t="n"/>
      <c r="R21" s="299" t="n"/>
      <c r="S21" s="299" t="n"/>
      <c r="T21" s="299" t="n"/>
      <c r="U21" s="299" t="n"/>
      <c r="V21" s="299" t="n"/>
      <c r="W21" s="299" t="n"/>
      <c r="X21" s="299" t="n"/>
      <c r="Y21" s="299" t="n"/>
      <c r="Z21" s="299" t="n"/>
      <c r="AA21" s="299" t="n"/>
      <c r="AB21" s="299" t="n"/>
      <c r="AC21" s="299" t="n"/>
      <c r="AD21" s="299" t="n"/>
      <c r="AE21" s="299" t="n"/>
      <c r="AF21" s="299" t="n"/>
      <c r="AG21" s="300" t="n"/>
    </row>
    <row r="22" ht="24.75" customFormat="1" customHeight="1" s="60">
      <c r="A22" s="53" t="n"/>
      <c r="B22" s="308" t="n"/>
      <c r="C22" s="308" t="n"/>
      <c r="D22" s="308" t="n"/>
      <c r="E22" s="308" t="n"/>
      <c r="F22" s="308" t="n"/>
      <c r="G22" s="308" t="n"/>
      <c r="H22" s="309" t="n"/>
      <c r="I22" s="58" t="inlineStr">
        <is>
          <t>Managed &amp; Franchised Hotel</t>
        </is>
      </c>
      <c r="J22" s="308" t="n"/>
      <c r="K22" s="308" t="n"/>
      <c r="L22" s="308" t="n"/>
      <c r="M22" s="308" t="n"/>
      <c r="N22" s="308" t="n"/>
      <c r="O22" s="308" t="n"/>
      <c r="P22" s="309" t="n"/>
      <c r="Q22" s="54" t="inlineStr">
        <is>
          <t>Owned Hotel</t>
        </is>
      </c>
      <c r="R22" s="308" t="n"/>
      <c r="S22" s="308" t="n"/>
      <c r="T22" s="308" t="n"/>
      <c r="U22" s="308" t="n"/>
      <c r="V22" s="308" t="n"/>
      <c r="W22" s="308" t="n"/>
      <c r="X22" s="309" t="n"/>
      <c r="Y22" s="58" t="inlineStr">
        <is>
          <t>Inter-region &amp; Satellite Offices</t>
        </is>
      </c>
      <c r="Z22" s="308" t="n"/>
      <c r="AA22" s="308" t="n"/>
      <c r="AB22" s="308" t="n"/>
      <c r="AC22" s="308" t="n"/>
      <c r="AD22" s="308" t="n"/>
      <c r="AE22" s="308" t="n"/>
      <c r="AF22" s="308" t="n"/>
      <c r="AG22" s="309" t="n"/>
    </row>
    <row r="23" ht="24.75" customFormat="1" customHeight="1" s="60">
      <c r="A23" s="315" t="n"/>
      <c r="B23" s="299" t="n"/>
      <c r="C23" s="299" t="n"/>
      <c r="D23" s="299" t="n"/>
      <c r="E23" s="299" t="n"/>
      <c r="F23" s="299" t="n"/>
      <c r="G23" s="299" t="n"/>
      <c r="H23" s="316" t="n"/>
      <c r="I23" s="317" t="n"/>
      <c r="J23" s="299" t="n"/>
      <c r="K23" s="299" t="n"/>
      <c r="L23" s="299" t="n"/>
      <c r="M23" s="299" t="n"/>
      <c r="N23" s="299" t="n"/>
      <c r="O23" s="299" t="n"/>
      <c r="P23" s="316" t="n"/>
      <c r="Q23" s="317" t="n"/>
      <c r="R23" s="299" t="n"/>
      <c r="S23" s="299" t="n"/>
      <c r="T23" s="299" t="n"/>
      <c r="U23" s="299" t="n"/>
      <c r="V23" s="299" t="n"/>
      <c r="W23" s="299" t="n"/>
      <c r="X23" s="316" t="n"/>
      <c r="Y23" s="317" t="n"/>
      <c r="Z23" s="299" t="n"/>
      <c r="AA23" s="299" t="n"/>
      <c r="AB23" s="299" t="n"/>
      <c r="AC23" s="299" t="n"/>
      <c r="AD23" s="299" t="n"/>
      <c r="AE23" s="299" t="n"/>
      <c r="AF23" s="299" t="n"/>
      <c r="AG23" s="316" t="n"/>
    </row>
    <row r="24" ht="28.5" customFormat="1" customHeight="1" s="60">
      <c r="A24" s="64" t="inlineStr">
        <is>
          <t>Hotel Name</t>
        </is>
      </c>
      <c r="B24" s="301" t="n"/>
      <c r="C24" s="301" t="n"/>
      <c r="D24" s="301" t="n"/>
      <c r="E24" s="301" t="n"/>
      <c r="F24" s="301" t="n"/>
      <c r="G24" s="301" t="n"/>
      <c r="H24" s="302" t="n"/>
      <c r="I24" s="66" t="inlineStr">
        <is>
          <t>Please refer to upload worksheet.</t>
        </is>
      </c>
      <c r="J24" s="304" t="n"/>
      <c r="K24" s="304" t="n"/>
      <c r="L24" s="304" t="n"/>
      <c r="M24" s="304" t="n"/>
      <c r="N24" s="304" t="n"/>
      <c r="O24" s="304" t="n"/>
      <c r="P24" s="305" t="n"/>
      <c r="Q24" s="68" t="n"/>
      <c r="R24" s="304" t="n"/>
      <c r="S24" s="304" t="n"/>
      <c r="T24" s="304" t="n"/>
      <c r="U24" s="304" t="n"/>
      <c r="V24" s="304" t="n"/>
      <c r="W24" s="304" t="n"/>
      <c r="X24" s="305" t="n"/>
      <c r="Y24" s="69" t="n"/>
      <c r="Z24" s="301" t="n"/>
      <c r="AA24" s="301" t="n"/>
      <c r="AB24" s="301" t="n"/>
      <c r="AC24" s="301" t="n"/>
      <c r="AD24" s="301" t="n"/>
      <c r="AE24" s="301" t="n"/>
      <c r="AF24" s="301" t="n"/>
      <c r="AG24" s="302" t="n"/>
    </row>
    <row r="25" ht="28.5" customFormat="1" customHeight="1" s="60">
      <c r="A25" s="64" t="inlineStr">
        <is>
          <t>Holidex Code</t>
        </is>
      </c>
      <c r="B25" s="301" t="n"/>
      <c r="C25" s="301" t="n"/>
      <c r="D25" s="301" t="n"/>
      <c r="E25" s="301" t="n"/>
      <c r="F25" s="301" t="n"/>
      <c r="G25" s="301" t="n"/>
      <c r="H25" s="302" t="n"/>
      <c r="I25" s="66" t="inlineStr">
        <is>
          <t>Please refer to upload worksheet.</t>
        </is>
      </c>
      <c r="J25" s="304" t="n"/>
      <c r="K25" s="304" t="n"/>
      <c r="L25" s="304" t="n"/>
      <c r="M25" s="304" t="n"/>
      <c r="N25" s="304" t="n"/>
      <c r="O25" s="304" t="n"/>
      <c r="P25" s="305" t="n"/>
      <c r="Q25" s="68" t="n"/>
      <c r="R25" s="304" t="n"/>
      <c r="S25" s="304" t="n"/>
      <c r="T25" s="304" t="n"/>
      <c r="U25" s="304" t="n"/>
      <c r="V25" s="304" t="n"/>
      <c r="W25" s="304" t="n"/>
      <c r="X25" s="305" t="n"/>
      <c r="Y25" s="69" t="n"/>
      <c r="Z25" s="301" t="n"/>
      <c r="AA25" s="301" t="n"/>
      <c r="AB25" s="301" t="n"/>
      <c r="AC25" s="301" t="n"/>
      <c r="AD25" s="301" t="n"/>
      <c r="AE25" s="301" t="n"/>
      <c r="AF25" s="301" t="n"/>
      <c r="AG25" s="302" t="n"/>
    </row>
    <row r="26" ht="33.75" customFormat="1" customHeight="1" s="60">
      <c r="A26" s="318" t="inlineStr">
        <is>
          <t>Approver Name or Purchase order no.</t>
        </is>
      </c>
      <c r="B26" s="301" t="n"/>
      <c r="C26" s="301" t="n"/>
      <c r="D26" s="301" t="n"/>
      <c r="E26" s="301" t="n"/>
      <c r="F26" s="301" t="n"/>
      <c r="G26" s="301" t="n"/>
      <c r="H26" s="302" t="n"/>
      <c r="I26" s="67" t="n"/>
      <c r="J26" s="304" t="n"/>
      <c r="K26" s="304" t="n"/>
      <c r="L26" s="304" t="n"/>
      <c r="M26" s="304" t="n"/>
      <c r="N26" s="304" t="n"/>
      <c r="O26" s="304" t="n"/>
      <c r="P26" s="305" t="n"/>
      <c r="Q26" s="68" t="n"/>
      <c r="R26" s="304" t="n"/>
      <c r="S26" s="304" t="n"/>
      <c r="T26" s="304" t="n"/>
      <c r="U26" s="304" t="n"/>
      <c r="V26" s="304" t="n"/>
      <c r="W26" s="304" t="n"/>
      <c r="X26" s="305" t="n"/>
      <c r="Y26" s="81" t="n"/>
      <c r="Z26" s="304" t="n"/>
      <c r="AA26" s="304" t="n"/>
      <c r="AB26" s="304" t="n"/>
      <c r="AC26" s="304" t="n"/>
      <c r="AD26" s="304" t="n"/>
      <c r="AE26" s="304" t="n"/>
      <c r="AF26" s="304" t="n"/>
      <c r="AG26" s="306" t="n"/>
    </row>
    <row r="27" ht="24.75" customFormat="1" customHeight="1" s="60">
      <c r="A27" s="64" t="inlineStr">
        <is>
          <t>Business Unit</t>
        </is>
      </c>
      <c r="B27" s="301" t="n"/>
      <c r="C27" s="301" t="n"/>
      <c r="D27" s="301" t="n"/>
      <c r="E27" s="301" t="n"/>
      <c r="F27" s="301" t="n"/>
      <c r="G27" s="301" t="n"/>
      <c r="H27" s="302" t="n"/>
      <c r="I27" s="54" t="n"/>
      <c r="J27" s="301" t="n"/>
      <c r="K27" s="301" t="n"/>
      <c r="L27" s="301" t="n"/>
      <c r="M27" s="301" t="n"/>
      <c r="N27" s="301" t="n"/>
      <c r="O27" s="301" t="n"/>
      <c r="P27" s="302" t="n"/>
      <c r="Q27" s="68" t="n"/>
      <c r="R27" s="304" t="n"/>
      <c r="S27" s="304" t="n"/>
      <c r="T27" s="304" t="n"/>
      <c r="U27" s="304" t="n"/>
      <c r="V27" s="304" t="n"/>
      <c r="W27" s="304" t="n"/>
      <c r="X27" s="305" t="n"/>
      <c r="Y27" s="80" t="n"/>
      <c r="Z27" s="304" t="n"/>
      <c r="AA27" s="304" t="n"/>
      <c r="AB27" s="304" t="n"/>
      <c r="AC27" s="304" t="n"/>
      <c r="AD27" s="304" t="n"/>
      <c r="AE27" s="304" t="n"/>
      <c r="AF27" s="304" t="n"/>
      <c r="AG27" s="305" t="n"/>
    </row>
    <row r="28" ht="24.75" customFormat="1" customHeight="1" s="60">
      <c r="A28" s="64" t="inlineStr">
        <is>
          <t>Account</t>
        </is>
      </c>
      <c r="B28" s="301" t="n"/>
      <c r="C28" s="301" t="n"/>
      <c r="D28" s="301" t="n"/>
      <c r="E28" s="301" t="n"/>
      <c r="F28" s="301" t="n"/>
      <c r="G28" s="301" t="n"/>
      <c r="H28" s="302" t="n"/>
      <c r="I28" s="54" t="n"/>
      <c r="J28" s="301" t="n"/>
      <c r="K28" s="301" t="n"/>
      <c r="L28" s="301" t="n"/>
      <c r="M28" s="301" t="n"/>
      <c r="N28" s="301" t="n"/>
      <c r="O28" s="301" t="n"/>
      <c r="P28" s="302" t="n"/>
      <c r="Q28" s="68" t="n"/>
      <c r="R28" s="304" t="n"/>
      <c r="S28" s="304" t="n"/>
      <c r="T28" s="304" t="n"/>
      <c r="U28" s="304" t="n"/>
      <c r="V28" s="304" t="n"/>
      <c r="W28" s="304" t="n"/>
      <c r="X28" s="305" t="n"/>
      <c r="Y28" s="80" t="n"/>
      <c r="Z28" s="304" t="n"/>
      <c r="AA28" s="304" t="n"/>
      <c r="AB28" s="304" t="n"/>
      <c r="AC28" s="304" t="n"/>
      <c r="AD28" s="304" t="n"/>
      <c r="AE28" s="304" t="n"/>
      <c r="AF28" s="304" t="n"/>
      <c r="AG28" s="305" t="n"/>
    </row>
    <row r="29" ht="24.75" customFormat="1" customHeight="1" s="60">
      <c r="A29" s="64" t="inlineStr">
        <is>
          <t>DeptID</t>
        </is>
      </c>
      <c r="B29" s="301" t="n"/>
      <c r="C29" s="301" t="n"/>
      <c r="D29" s="301" t="n"/>
      <c r="E29" s="301" t="n"/>
      <c r="F29" s="301" t="n"/>
      <c r="G29" s="301" t="n"/>
      <c r="H29" s="302" t="n"/>
      <c r="I29" s="54" t="n"/>
      <c r="J29" s="301" t="n"/>
      <c r="K29" s="301" t="n"/>
      <c r="L29" s="301" t="n"/>
      <c r="M29" s="301" t="n"/>
      <c r="N29" s="301" t="n"/>
      <c r="O29" s="301" t="n"/>
      <c r="P29" s="302" t="n"/>
      <c r="Q29" s="68" t="n"/>
      <c r="R29" s="304" t="n"/>
      <c r="S29" s="304" t="n"/>
      <c r="T29" s="304" t="n"/>
      <c r="U29" s="304" t="n"/>
      <c r="V29" s="304" t="n"/>
      <c r="W29" s="304" t="n"/>
      <c r="X29" s="305" t="n"/>
      <c r="Y29" s="80" t="n"/>
      <c r="Z29" s="304" t="n"/>
      <c r="AA29" s="304" t="n"/>
      <c r="AB29" s="304" t="n"/>
      <c r="AC29" s="304" t="n"/>
      <c r="AD29" s="304" t="n"/>
      <c r="AE29" s="304" t="n"/>
      <c r="AF29" s="304" t="n"/>
      <c r="AG29" s="305" t="n"/>
    </row>
    <row r="30" ht="24.75" customFormat="1" customHeight="1" s="60">
      <c r="A30" s="64" t="inlineStr">
        <is>
          <t>Hotel Dept (Prod)</t>
        </is>
      </c>
      <c r="B30" s="301" t="n"/>
      <c r="C30" s="301" t="n"/>
      <c r="D30" s="301" t="n"/>
      <c r="E30" s="301" t="n"/>
      <c r="F30" s="301" t="n"/>
      <c r="G30" s="301" t="n"/>
      <c r="H30" s="302" t="n"/>
      <c r="I30" s="54" t="n"/>
      <c r="J30" s="301" t="n"/>
      <c r="K30" s="301" t="n"/>
      <c r="L30" s="301" t="n"/>
      <c r="M30" s="301" t="n"/>
      <c r="N30" s="301" t="n"/>
      <c r="O30" s="301" t="n"/>
      <c r="P30" s="302" t="n"/>
      <c r="Q30" s="68" t="n"/>
      <c r="R30" s="304" t="n"/>
      <c r="S30" s="304" t="n"/>
      <c r="T30" s="304" t="n"/>
      <c r="U30" s="304" t="n"/>
      <c r="V30" s="304" t="n"/>
      <c r="W30" s="304" t="n"/>
      <c r="X30" s="305" t="n"/>
      <c r="Y30" s="54" t="n"/>
      <c r="Z30" s="301" t="n"/>
      <c r="AA30" s="301" t="n"/>
      <c r="AB30" s="301" t="n"/>
      <c r="AC30" s="301" t="n"/>
      <c r="AD30" s="301" t="n"/>
      <c r="AE30" s="301" t="n"/>
      <c r="AF30" s="301" t="n"/>
      <c r="AG30" s="302" t="n"/>
    </row>
    <row r="31" ht="40.5" customFormat="1" customHeight="1" s="60">
      <c r="A31" s="319" t="inlineStr">
        <is>
          <t>Charge Description:Note : For Multiple Hotels see "Multiple Hotels" tab</t>
        </is>
      </c>
      <c r="B31" s="301" t="n"/>
      <c r="C31" s="301" t="n"/>
      <c r="D31" s="301" t="n"/>
      <c r="E31" s="301" t="n"/>
      <c r="F31" s="301" t="n"/>
      <c r="G31" s="301" t="n"/>
      <c r="H31" s="302" t="n"/>
      <c r="I31" s="320" t="inlineStr">
        <is>
          <t>Please refer to excel sheeet</t>
        </is>
      </c>
      <c r="J31" s="304" t="n"/>
      <c r="K31" s="304" t="n"/>
      <c r="L31" s="304" t="n"/>
      <c r="M31" s="304" t="n"/>
      <c r="N31" s="304" t="n"/>
      <c r="O31" s="304" t="n"/>
      <c r="P31" s="304" t="n"/>
      <c r="Q31" s="304" t="n"/>
      <c r="R31" s="304" t="n"/>
      <c r="S31" s="304" t="n"/>
      <c r="T31" s="304" t="n"/>
      <c r="U31" s="304" t="n"/>
      <c r="V31" s="304" t="n"/>
      <c r="W31" s="304" t="n"/>
      <c r="X31" s="304" t="n"/>
      <c r="Y31" s="304" t="n"/>
      <c r="Z31" s="304" t="n"/>
      <c r="AA31" s="304" t="n"/>
      <c r="AB31" s="304" t="n"/>
      <c r="AC31" s="304" t="n"/>
      <c r="AD31" s="304" t="n"/>
      <c r="AE31" s="304" t="n"/>
      <c r="AF31" s="304" t="n"/>
      <c r="AG31" s="306" t="n"/>
    </row>
    <row r="32" ht="11.25" customFormat="1" customHeight="1" s="60">
      <c r="A32" s="88" t="inlineStr">
        <is>
          <t>  </t>
        </is>
      </c>
      <c r="B32" s="304" t="n"/>
      <c r="C32" s="304" t="n"/>
      <c r="D32" s="304" t="n"/>
      <c r="E32" s="304" t="n"/>
      <c r="F32" s="304" t="n"/>
      <c r="G32" s="304" t="n"/>
      <c r="H32" s="304" t="n"/>
      <c r="I32" s="304" t="n"/>
      <c r="J32" s="304" t="n"/>
      <c r="K32" s="304" t="n"/>
      <c r="L32" s="304" t="n"/>
      <c r="M32" s="304" t="n"/>
      <c r="N32" s="304" t="n"/>
      <c r="O32" s="304" t="n"/>
      <c r="P32" s="304" t="n"/>
      <c r="Q32" s="304" t="n"/>
      <c r="R32" s="304" t="n"/>
      <c r="S32" s="304" t="n"/>
      <c r="T32" s="304" t="n"/>
      <c r="U32" s="304" t="n"/>
      <c r="V32" s="304" t="n"/>
      <c r="W32" s="304" t="n"/>
      <c r="X32" s="304" t="n"/>
      <c r="Y32" s="304" t="n"/>
      <c r="Z32" s="304" t="n"/>
      <c r="AA32" s="304" t="n"/>
      <c r="AB32" s="304" t="n"/>
      <c r="AC32" s="304" t="n"/>
      <c r="AD32" s="304" t="n"/>
      <c r="AE32" s="304" t="n"/>
      <c r="AF32" s="304" t="n"/>
      <c r="AG32" s="305" t="n"/>
    </row>
    <row r="33" ht="24" customFormat="1" customHeight="1" s="60">
      <c r="A33" s="64" t="inlineStr">
        <is>
          <t>Currency:</t>
        </is>
      </c>
      <c r="B33" s="301" t="n"/>
      <c r="C33" s="301" t="n"/>
      <c r="D33" s="302" t="n"/>
      <c r="E33" s="67" t="inlineStr">
        <is>
          <t>Please refer to upload worksheet.</t>
        </is>
      </c>
      <c r="F33" s="304" t="n"/>
      <c r="G33" s="304" t="n"/>
      <c r="H33" s="305" t="n"/>
      <c r="I33" s="321" t="n">
        <v>135440.47</v>
      </c>
      <c r="J33" s="304" t="n"/>
      <c r="K33" s="304" t="n"/>
      <c r="L33" s="305" t="n"/>
      <c r="M33" s="93" t="inlineStr">
        <is>
          <t>Please refer to upload worksheet</t>
        </is>
      </c>
      <c r="N33" s="68" t="n"/>
      <c r="O33" s="304" t="n"/>
      <c r="P33" s="304" t="n"/>
      <c r="Q33" s="304" t="n"/>
      <c r="R33" s="304" t="n"/>
      <c r="S33" s="304" t="n"/>
      <c r="T33" s="304" t="n"/>
      <c r="U33" s="304" t="n"/>
      <c r="V33" s="304" t="n"/>
      <c r="W33" s="304" t="n"/>
      <c r="X33" s="305" t="n"/>
      <c r="Y33" s="54" t="inlineStr">
        <is>
          <t>Incl GST (Y/N)</t>
        </is>
      </c>
      <c r="Z33" s="301" t="n"/>
      <c r="AA33" s="301" t="n"/>
      <c r="AB33" s="301" t="n"/>
      <c r="AC33" s="301" t="n"/>
      <c r="AD33" s="301" t="n"/>
      <c r="AE33" s="302" t="n"/>
      <c r="AF33" s="322" t="inlineStr">
        <is>
          <t>GST --Not Applicable</t>
        </is>
      </c>
      <c r="AG33" s="306" t="n"/>
    </row>
    <row r="34" ht="24" customHeight="1">
      <c r="A34" s="97" t="inlineStr">
        <is>
          <t>R2C Use Only</t>
        </is>
      </c>
      <c r="B34" s="98" t="n"/>
      <c r="C34" s="98" t="n"/>
      <c r="D34" s="98" t="n"/>
      <c r="E34" s="98" t="n"/>
      <c r="F34" s="98" t="n"/>
      <c r="G34" s="98" t="n"/>
      <c r="H34" s="98" t="n"/>
      <c r="I34" s="98" t="n"/>
      <c r="J34" s="98" t="n"/>
      <c r="K34" s="98" t="n"/>
      <c r="L34" s="98" t="n"/>
      <c r="M34" s="98" t="n"/>
      <c r="N34" s="98" t="n"/>
      <c r="O34" s="98" t="n"/>
      <c r="P34" s="98" t="n"/>
      <c r="Q34" s="98" t="n"/>
      <c r="R34" s="98" t="n"/>
      <c r="S34" s="98" t="n"/>
      <c r="T34" s="98" t="n"/>
      <c r="U34" s="98" t="n"/>
      <c r="V34" s="98" t="n"/>
      <c r="W34" s="98" t="n"/>
      <c r="X34" s="98" t="n"/>
      <c r="Y34" s="98" t="n"/>
      <c r="Z34" s="98" t="n"/>
      <c r="AA34" s="98" t="n"/>
      <c r="AB34" s="98" t="n"/>
      <c r="AC34" s="98" t="n"/>
      <c r="AD34" s="98" t="n"/>
      <c r="AE34" s="98" t="n"/>
      <c r="AF34" s="98" t="n"/>
      <c r="AG34" s="99" t="n"/>
    </row>
    <row r="35" ht="15.5" customHeight="1">
      <c r="A35" s="101" t="inlineStr">
        <is>
          <t>Date Invoiced:</t>
        </is>
      </c>
      <c r="B35" s="98" t="n"/>
      <c r="C35" s="98" t="n"/>
      <c r="D35" s="98" t="n"/>
      <c r="E35" s="98" t="n"/>
      <c r="F35" s="98" t="n"/>
      <c r="G35" s="98" t="n"/>
      <c r="H35" s="98" t="n"/>
      <c r="I35" s="98" t="n"/>
      <c r="J35" s="98" t="n"/>
      <c r="K35" s="98" t="n"/>
      <c r="L35" s="98" t="n"/>
      <c r="M35" s="98" t="n"/>
      <c r="N35" s="98" t="n"/>
      <c r="O35" s="98" t="n"/>
      <c r="P35" s="98" t="n"/>
      <c r="Q35" s="98" t="n"/>
      <c r="R35" s="98" t="n"/>
      <c r="S35" s="98" t="n"/>
      <c r="T35" s="98" t="n"/>
      <c r="U35" s="98" t="n"/>
      <c r="V35" s="98" t="n"/>
      <c r="W35" s="98" t="n"/>
      <c r="X35" s="98" t="n"/>
      <c r="Y35" s="98" t="n"/>
      <c r="Z35" s="98" t="n"/>
      <c r="AA35" s="98" t="n"/>
      <c r="AB35" s="98" t="n"/>
      <c r="AC35" s="98" t="n"/>
      <c r="AD35" s="98" t="n"/>
      <c r="AE35" s="98" t="n"/>
      <c r="AF35" s="98" t="n"/>
      <c r="AG35" s="99" t="n"/>
    </row>
    <row r="36" ht="15.5" customHeight="1">
      <c r="A36" s="101" t="inlineStr">
        <is>
          <t>Invoice Number:</t>
        </is>
      </c>
      <c r="B36" s="98" t="n"/>
      <c r="C36" s="98" t="n"/>
      <c r="D36" s="98" t="n"/>
      <c r="E36" s="98" t="n"/>
      <c r="F36" s="98" t="n"/>
      <c r="G36" s="98" t="n"/>
      <c r="H36" s="98" t="n"/>
      <c r="I36" s="98" t="n"/>
      <c r="J36" s="98" t="n"/>
      <c r="K36" s="98" t="n"/>
      <c r="L36" s="98" t="n"/>
      <c r="M36" s="98" t="n"/>
      <c r="N36" s="98" t="n"/>
      <c r="O36" s="98" t="n"/>
      <c r="P36" s="98" t="n"/>
      <c r="Q36" s="98" t="n"/>
      <c r="R36" s="98" t="n"/>
      <c r="S36" s="98" t="n"/>
      <c r="T36" s="98" t="n"/>
      <c r="U36" s="98" t="n"/>
      <c r="V36" s="98" t="n"/>
      <c r="W36" s="98" t="n"/>
      <c r="X36" s="98" t="n"/>
      <c r="Y36" s="98" t="n"/>
      <c r="Z36" s="98" t="n"/>
      <c r="AA36" s="98" t="n"/>
      <c r="AB36" s="98" t="n"/>
      <c r="AC36" s="98" t="n"/>
      <c r="AD36" s="98" t="n"/>
      <c r="AE36" s="98" t="n"/>
      <c r="AF36" s="98" t="n"/>
      <c r="AG36" s="99" t="n"/>
    </row>
    <row r="37" ht="16" customHeight="1" thickBot="1">
      <c r="A37" s="102" t="inlineStr">
        <is>
          <t>Invoiced By:</t>
        </is>
      </c>
      <c r="B37" s="103" t="n"/>
      <c r="C37" s="103" t="n"/>
      <c r="D37" s="103" t="n"/>
      <c r="E37" s="103" t="n"/>
      <c r="F37" s="103" t="n"/>
      <c r="G37" s="103" t="n"/>
      <c r="H37" s="103" t="n"/>
      <c r="I37" s="103" t="n"/>
      <c r="J37" s="103" t="n"/>
      <c r="K37" s="103" t="n"/>
      <c r="L37" s="103" t="n"/>
      <c r="M37" s="103" t="n"/>
      <c r="N37" s="103" t="n"/>
      <c r="O37" s="103" t="n"/>
      <c r="P37" s="103" t="n"/>
      <c r="Q37" s="103" t="n"/>
      <c r="R37" s="103" t="n"/>
      <c r="S37" s="103" t="n"/>
      <c r="T37" s="103" t="n"/>
      <c r="U37" s="103" t="n"/>
      <c r="V37" s="103" t="n"/>
      <c r="W37" s="103" t="n"/>
      <c r="X37" s="103" t="n"/>
      <c r="Y37" s="103" t="n"/>
      <c r="Z37" s="103" t="n"/>
      <c r="AA37" s="103" t="n"/>
      <c r="AB37" s="103" t="n"/>
      <c r="AC37" s="103" t="n"/>
      <c r="AD37" s="103" t="n"/>
      <c r="AE37" s="103" t="n"/>
      <c r="AF37" s="103" t="n"/>
      <c r="AG37" s="104" t="n"/>
    </row>
    <row r="38" ht="18" customFormat="1" customHeight="1" s="60" thickTop="1">
      <c r="A38" s="105">
        <f>CELL("filename")</f>
        <v/>
      </c>
      <c r="B38" s="323" t="n"/>
      <c r="C38" s="323" t="n"/>
      <c r="D38" s="323" t="n"/>
      <c r="E38" s="323" t="n"/>
      <c r="F38" s="323" t="n"/>
      <c r="G38" s="323" t="n"/>
      <c r="H38" s="323" t="n"/>
      <c r="I38" s="323" t="n"/>
      <c r="J38" s="323" t="n"/>
      <c r="K38" s="323" t="n"/>
      <c r="L38" s="323" t="n"/>
      <c r="M38" s="323" t="n"/>
      <c r="N38" s="323" t="n"/>
      <c r="O38" s="323" t="n"/>
      <c r="P38" s="323" t="n"/>
      <c r="Q38" s="323" t="n"/>
      <c r="R38" s="323" t="n"/>
      <c r="S38" s="323" t="n"/>
      <c r="T38" s="323" t="n"/>
      <c r="U38" s="323" t="n"/>
      <c r="V38" s="323" t="n"/>
      <c r="W38" s="323" t="n"/>
      <c r="X38" s="323" t="n"/>
      <c r="Y38" s="323" t="n"/>
      <c r="Z38" s="323" t="n"/>
      <c r="AA38" s="323" t="n"/>
      <c r="AB38" s="323" t="n"/>
      <c r="AC38" s="323" t="n"/>
      <c r="AD38" s="323" t="n"/>
      <c r="AE38" s="323" t="n"/>
      <c r="AF38" s="323" t="n"/>
      <c r="AG38" s="323" t="n"/>
    </row>
    <row r="39" ht="24" customFormat="1" customHeight="1" s="60"/>
    <row r="40" ht="24" customFormat="1" customHeight="1" s="60"/>
    <row r="41" ht="24" customFormat="1" customHeight="1" s="60"/>
    <row r="42" ht="24" customFormat="1" customHeight="1" s="60"/>
    <row r="43" ht="24" customFormat="1" customHeight="1" s="60"/>
    <row r="44" ht="24" customFormat="1" customHeight="1" s="60"/>
    <row r="45" ht="24" customFormat="1" customHeight="1" s="60"/>
    <row r="46" ht="24" customFormat="1" customHeight="1" s="60"/>
    <row r="47" ht="24" customFormat="1" customHeight="1" s="60"/>
    <row r="48" ht="24" customFormat="1" customHeight="1" s="60"/>
    <row r="49" ht="24" customFormat="1" customHeight="1" s="60"/>
    <row r="50" ht="24" customFormat="1" customHeight="1" s="60"/>
    <row r="51" ht="24" customFormat="1" customHeight="1" s="60"/>
    <row r="52" ht="24" customFormat="1" customHeight="1" s="60"/>
    <row r="53" ht="24" customFormat="1" customHeight="1" s="60"/>
    <row r="54" ht="24" customFormat="1" customHeight="1" s="60"/>
    <row r="55" ht="24" customFormat="1" customHeight="1" s="60"/>
    <row r="56" ht="24" customFormat="1" customHeight="1" s="60"/>
    <row r="57" ht="24" customFormat="1" customHeight="1" s="60"/>
    <row r="58" ht="24" customFormat="1" customHeight="1" s="60"/>
    <row r="59" ht="24" customFormat="1" customHeight="1" s="60"/>
    <row r="60" ht="24" customFormat="1" customHeight="1" s="60"/>
    <row r="61" ht="24" customFormat="1" customHeight="1" s="60"/>
    <row r="62" ht="24" customFormat="1" customHeight="1" s="60"/>
    <row r="63" ht="24" customFormat="1" customHeight="1" s="60"/>
    <row r="64" ht="24" customFormat="1" customHeight="1" s="60"/>
    <row r="65" ht="24" customFormat="1" customHeight="1" s="60"/>
    <row r="66" ht="24" customFormat="1" customHeight="1" s="60"/>
    <row r="67" ht="24" customFormat="1" customHeight="1" s="60"/>
    <row r="68" ht="24" customFormat="1" customHeight="1" s="60"/>
    <row r="69" ht="24" customFormat="1" customHeight="1" s="60"/>
    <row r="70" ht="24" customFormat="1" customHeight="1" s="60"/>
    <row r="71" ht="24" customFormat="1" customHeight="1" s="60"/>
    <row r="72" ht="24" customFormat="1" customHeight="1" s="60"/>
    <row r="73" ht="24" customFormat="1" customHeight="1" s="60"/>
    <row r="74" ht="24" customFormat="1" customHeight="1" s="60"/>
    <row r="75" ht="24" customFormat="1" customHeight="1" s="60"/>
    <row r="76" ht="24" customFormat="1" customHeight="1" s="60"/>
    <row r="77" ht="24" customFormat="1" customHeight="1" s="60"/>
    <row r="78" ht="24" customFormat="1" customHeight="1" s="60"/>
    <row r="79" ht="24" customFormat="1" customHeight="1" s="60"/>
    <row r="80" ht="24" customFormat="1" customHeight="1" s="60"/>
    <row r="81" ht="24" customFormat="1" customHeight="1" s="60"/>
    <row r="82" ht="24" customFormat="1" customHeight="1" s="60"/>
    <row r="83" ht="24" customFormat="1" customHeight="1" s="60"/>
    <row r="84" ht="24" customFormat="1" customHeight="1" s="60"/>
    <row r="85" ht="24" customFormat="1" customHeight="1" s="60"/>
    <row r="86" ht="24" customFormat="1" customHeight="1" s="60"/>
    <row r="87" ht="24" customFormat="1" customHeight="1" s="60"/>
    <row r="88" ht="24" customFormat="1" customHeight="1" s="60"/>
    <row r="89" ht="24" customFormat="1" customHeight="1" s="60"/>
    <row r="90" ht="24" customFormat="1" customHeight="1" s="60"/>
    <row r="91" ht="24" customFormat="1" customHeight="1" s="60"/>
    <row r="92" ht="24" customFormat="1" customHeight="1" s="60"/>
    <row r="93" ht="24" customFormat="1" customHeight="1" s="60"/>
    <row r="94" ht="24" customFormat="1" customHeight="1" s="60"/>
    <row r="95" ht="24" customFormat="1" customHeight="1" s="60"/>
    <row r="96" ht="24" customFormat="1" customHeight="1" s="60"/>
    <row r="97" ht="24" customFormat="1" customHeight="1" s="60"/>
    <row r="98" ht="24" customFormat="1" customHeight="1" s="60"/>
    <row r="99" ht="24" customFormat="1" customHeight="1" s="60"/>
    <row r="100" ht="24" customFormat="1" customHeight="1" s="60"/>
    <row r="101" ht="24" customFormat="1" customHeight="1" s="60"/>
    <row r="102" ht="24" customFormat="1" customHeight="1" s="60"/>
    <row r="103" ht="24" customFormat="1" customHeight="1" s="60"/>
  </sheetData>
  <mergeCells count="64">
    <mergeCell ref="A30:H30"/>
    <mergeCell ref="A8:D8"/>
    <mergeCell ref="Q22:X23"/>
    <mergeCell ref="Q25:X25"/>
    <mergeCell ref="I30:P30"/>
    <mergeCell ref="Y29:AG29"/>
    <mergeCell ref="A6:AG6"/>
    <mergeCell ref="A24:H24"/>
    <mergeCell ref="AF33:AG33"/>
    <mergeCell ref="Q28:X28"/>
    <mergeCell ref="A7:AG7"/>
    <mergeCell ref="Y26:AG26"/>
    <mergeCell ref="O8:AG8"/>
    <mergeCell ref="K10:N10"/>
    <mergeCell ref="Q24:X24"/>
    <mergeCell ref="I27:P27"/>
    <mergeCell ref="A10:J10"/>
    <mergeCell ref="I33:L33"/>
    <mergeCell ref="Y33:AE33"/>
    <mergeCell ref="A22:H23"/>
    <mergeCell ref="I26:P26"/>
    <mergeCell ref="A9:D9"/>
    <mergeCell ref="Y25:AG25"/>
    <mergeCell ref="A21:AG21"/>
    <mergeCell ref="A25:H25"/>
    <mergeCell ref="A12:AG12"/>
    <mergeCell ref="I25:P25"/>
    <mergeCell ref="Y28:AG28"/>
    <mergeCell ref="Q29:X29"/>
    <mergeCell ref="O10:U10"/>
    <mergeCell ref="I31:AG31"/>
    <mergeCell ref="I28:P28"/>
    <mergeCell ref="E33:H33"/>
    <mergeCell ref="N33:X33"/>
    <mergeCell ref="A27:H27"/>
    <mergeCell ref="Y27:AG27"/>
    <mergeCell ref="A32:AG32"/>
    <mergeCell ref="K9:N9"/>
    <mergeCell ref="A5:AG5"/>
    <mergeCell ref="Q26:X26"/>
    <mergeCell ref="F8:J8"/>
    <mergeCell ref="A26:H26"/>
    <mergeCell ref="A20:AG20"/>
    <mergeCell ref="A38:AG38"/>
    <mergeCell ref="AA9:AG9"/>
    <mergeCell ref="I24:P24"/>
    <mergeCell ref="V10:Y10"/>
    <mergeCell ref="Q27:X27"/>
    <mergeCell ref="Y22:AG23"/>
    <mergeCell ref="Q30:X30"/>
    <mergeCell ref="F9:J9"/>
    <mergeCell ref="V9:Y9"/>
    <mergeCell ref="A29:H29"/>
    <mergeCell ref="I29:P29"/>
    <mergeCell ref="A28:H28"/>
    <mergeCell ref="Y24:AG24"/>
    <mergeCell ref="Z10:AG10"/>
    <mergeCell ref="K8:N8"/>
    <mergeCell ref="A33:D33"/>
    <mergeCell ref="P9:U9"/>
    <mergeCell ref="A11:AG11"/>
    <mergeCell ref="I22:P23"/>
    <mergeCell ref="A31:H31"/>
    <mergeCell ref="Y30:AG30"/>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N36"/>
  <sheetViews>
    <sheetView workbookViewId="0">
      <selection activeCell="A1" sqref="A1:XFD1048576"/>
    </sheetView>
  </sheetViews>
  <sheetFormatPr baseColWidth="8" defaultColWidth="9.1796875" defaultRowHeight="15.5"/>
  <cols>
    <col width="46.453125" customWidth="1" style="111" min="1" max="1"/>
    <col width="11.1796875" customWidth="1" style="111" min="2" max="2"/>
    <col width="13.7265625" bestFit="1" customWidth="1" style="111" min="3" max="3"/>
    <col width="19.54296875" customWidth="1" style="111" min="4" max="6"/>
    <col width="12.54296875" customWidth="1" style="111" min="7" max="7"/>
    <col width="15.1796875" customWidth="1" style="151" min="8" max="10"/>
    <col width="46.81640625" customWidth="1" style="151" min="11" max="11"/>
    <col width="15.7265625" customWidth="1" style="111" min="12" max="14"/>
    <col width="9.1796875" customWidth="1" style="111" min="15" max="16384"/>
  </cols>
  <sheetData>
    <row r="1" customFormat="1" s="106">
      <c r="H1" s="107" t="inlineStr">
        <is>
          <t>Please complete all unshaded boxes, attached with backups</t>
        </is>
      </c>
      <c r="I1" s="107" t="n"/>
      <c r="J1" s="107" t="n"/>
      <c r="K1" s="107" t="n"/>
    </row>
    <row r="2" customFormat="1" s="106">
      <c r="H2" s="107" t="inlineStr">
        <is>
          <t>and fax to: +61 2 9926 9755</t>
        </is>
      </c>
      <c r="I2" s="107" t="n"/>
      <c r="J2" s="107" t="n"/>
      <c r="K2" s="107" t="n"/>
    </row>
    <row r="3" ht="16" customFormat="1" customHeight="1" s="106" thickBot="1">
      <c r="H3" s="107" t="inlineStr">
        <is>
          <t>or Email: Asia.remit@ichotelsgroup.com</t>
        </is>
      </c>
      <c r="I3" s="107" t="n"/>
      <c r="J3" s="107" t="n"/>
      <c r="K3" s="107" t="n"/>
    </row>
    <row r="4" ht="16" customHeight="1" thickTop="1">
      <c r="A4" s="324" t="inlineStr">
        <is>
          <t xml:space="preserve">R2C RECHARGE INVOICE REQUISITION FORM    </t>
        </is>
      </c>
      <c r="B4" s="294" t="n"/>
      <c r="C4" s="294" t="n"/>
      <c r="D4" s="294" t="n"/>
      <c r="E4" s="294" t="n"/>
      <c r="F4" s="294" t="n"/>
      <c r="G4" s="294" t="n"/>
      <c r="H4" s="294" t="n"/>
      <c r="I4" s="294" t="n"/>
      <c r="J4" s="294" t="n"/>
      <c r="K4" s="294" t="n"/>
      <c r="L4" s="294" t="n"/>
      <c r="M4" s="294" t="n"/>
      <c r="N4" s="295" t="n"/>
    </row>
    <row r="5">
      <c r="A5" s="325" t="inlineStr">
        <is>
          <t>Additional Form For Multiple Hotels Recharge Request</t>
        </is>
      </c>
      <c r="N5" s="297" t="n"/>
    </row>
    <row r="6">
      <c r="A6" s="326" t="inlineStr">
        <is>
          <t>Note - Only Items over USD$200 will be recharged</t>
        </is>
      </c>
      <c r="N6" s="297" t="n"/>
    </row>
    <row r="7">
      <c r="A7" s="118" t="inlineStr">
        <is>
          <t>Recipient Details:</t>
        </is>
      </c>
      <c r="B7" s="119" t="n"/>
      <c r="C7" s="119" t="n"/>
      <c r="D7" s="120" t="n"/>
      <c r="E7" s="120" t="n"/>
      <c r="F7" s="120" t="n"/>
      <c r="G7" s="120" t="n"/>
      <c r="H7" s="121" t="n"/>
      <c r="I7" s="121" t="n"/>
      <c r="J7" s="121" t="n"/>
      <c r="K7" s="121" t="n"/>
      <c r="L7" s="119" t="inlineStr">
        <is>
          <t>R2C Use Only</t>
        </is>
      </c>
      <c r="M7" s="120" t="n"/>
      <c r="N7" s="122" t="n"/>
    </row>
    <row r="8" ht="46.5" customFormat="1" customHeight="1" s="129">
      <c r="A8" s="123" t="inlineStr">
        <is>
          <t>Hotel Name</t>
        </is>
      </c>
      <c r="B8" s="124" t="inlineStr">
        <is>
          <t>Holidex Code</t>
        </is>
      </c>
      <c r="C8" s="124" t="inlineStr">
        <is>
          <t>Cutomer ID</t>
        </is>
      </c>
      <c r="D8" s="125" t="inlineStr">
        <is>
          <t>Approver Name or Purchase order no.</t>
        </is>
      </c>
      <c r="E8" s="125" t="inlineStr">
        <is>
          <t>Charge ID</t>
        </is>
      </c>
      <c r="F8" s="125" t="inlineStr">
        <is>
          <t>Short Description</t>
        </is>
      </c>
      <c r="G8" s="125" t="inlineStr">
        <is>
          <t>Currency Code</t>
        </is>
      </c>
      <c r="H8" s="126" t="inlineStr">
        <is>
          <t>Net Amount</t>
        </is>
      </c>
      <c r="I8" s="126" t="inlineStr">
        <is>
          <t>GST</t>
        </is>
      </c>
      <c r="J8" s="126" t="inlineStr">
        <is>
          <t>Amount Inclusive GST  (A+B)</t>
        </is>
      </c>
      <c r="K8" s="126" t="inlineStr">
        <is>
          <t>Text 254</t>
        </is>
      </c>
      <c r="L8" s="127" t="inlineStr">
        <is>
          <t>Date Invoiced</t>
        </is>
      </c>
      <c r="M8" s="127" t="inlineStr">
        <is>
          <t>Invoice Number</t>
        </is>
      </c>
      <c r="N8" s="128" t="inlineStr">
        <is>
          <t>Invoiced By</t>
        </is>
      </c>
    </row>
    <row r="9" customFormat="1" s="129">
      <c r="A9" s="130" t="n"/>
      <c r="B9" s="130" t="n"/>
      <c r="C9" s="130" t="n"/>
      <c r="D9" s="130" t="n"/>
      <c r="E9" s="131" t="n"/>
      <c r="F9" s="131" t="n"/>
      <c r="G9" s="132" t="n"/>
      <c r="H9" s="132" t="n"/>
      <c r="I9" s="132" t="n"/>
      <c r="J9" s="132" t="n"/>
      <c r="K9" s="133" t="n"/>
      <c r="L9" s="134" t="n"/>
      <c r="M9" s="134" t="n"/>
      <c r="N9" s="134" t="n"/>
    </row>
    <row r="10" customFormat="1" s="129">
      <c r="A10" s="130" t="n"/>
      <c r="B10" s="130" t="n"/>
      <c r="C10" s="130" t="n"/>
      <c r="D10" s="130" t="n"/>
      <c r="E10" s="131" t="n"/>
      <c r="F10" s="131" t="n"/>
      <c r="G10" s="132" t="n"/>
      <c r="H10" s="132" t="n"/>
      <c r="I10" s="132" t="n"/>
      <c r="J10" s="132" t="n"/>
      <c r="K10" s="133" t="n"/>
      <c r="L10" s="134" t="n"/>
      <c r="M10" s="134" t="n"/>
      <c r="N10" s="134" t="n"/>
    </row>
    <row r="11" customFormat="1" s="129">
      <c r="A11" s="130" t="n"/>
      <c r="B11" s="130" t="n"/>
      <c r="C11" s="130" t="n"/>
      <c r="D11" s="130" t="n"/>
      <c r="E11" s="131" t="n"/>
      <c r="F11" s="131" t="n"/>
      <c r="G11" s="132" t="n"/>
      <c r="H11" s="132" t="n"/>
      <c r="I11" s="132" t="n"/>
      <c r="J11" s="132" t="n"/>
      <c r="K11" s="133" t="n"/>
      <c r="L11" s="134" t="n"/>
      <c r="M11" s="134" t="n"/>
      <c r="N11" s="134" t="n"/>
    </row>
    <row r="12" customFormat="1" s="129">
      <c r="A12" s="130" t="n"/>
      <c r="B12" s="130" t="n"/>
      <c r="C12" s="130" t="n"/>
      <c r="D12" s="130" t="n"/>
      <c r="E12" s="131" t="n"/>
      <c r="F12" s="131" t="n"/>
      <c r="G12" s="132" t="n"/>
      <c r="H12" s="132" t="n"/>
      <c r="I12" s="132" t="n"/>
      <c r="J12" s="132" t="n"/>
      <c r="K12" s="133" t="n"/>
      <c r="L12" s="134" t="n"/>
      <c r="M12" s="134" t="n"/>
      <c r="N12" s="134" t="n"/>
    </row>
    <row r="13" customFormat="1" s="129">
      <c r="A13" s="130" t="n"/>
      <c r="B13" s="130" t="n"/>
      <c r="C13" s="130" t="n"/>
      <c r="D13" s="130" t="n"/>
      <c r="E13" s="131" t="n"/>
      <c r="F13" s="131" t="n"/>
      <c r="G13" s="132" t="n"/>
      <c r="H13" s="132" t="n"/>
      <c r="I13" s="132" t="n"/>
      <c r="J13" s="132" t="n"/>
      <c r="K13" s="133" t="n"/>
      <c r="L13" s="134" t="n"/>
      <c r="M13" s="134" t="n"/>
      <c r="N13" s="134" t="n"/>
    </row>
    <row r="14" customFormat="1" s="129">
      <c r="A14" s="130" t="n"/>
      <c r="B14" s="130" t="n"/>
      <c r="C14" s="130" t="n"/>
      <c r="D14" s="130" t="n"/>
      <c r="E14" s="131" t="n"/>
      <c r="F14" s="131" t="n"/>
      <c r="G14" s="132" t="n"/>
      <c r="H14" s="132" t="n"/>
      <c r="I14" s="132" t="n"/>
      <c r="J14" s="132" t="n"/>
      <c r="K14" s="133" t="n"/>
      <c r="L14" s="134" t="n"/>
      <c r="M14" s="134" t="n"/>
      <c r="N14" s="134" t="n"/>
    </row>
    <row r="15" customFormat="1" s="129">
      <c r="A15" s="130" t="n"/>
      <c r="B15" s="130" t="n"/>
      <c r="C15" s="130" t="n"/>
      <c r="D15" s="130" t="n"/>
      <c r="E15" s="131" t="n"/>
      <c r="F15" s="131" t="n"/>
      <c r="G15" s="132" t="n"/>
      <c r="H15" s="132" t="n"/>
      <c r="I15" s="132" t="n"/>
      <c r="J15" s="132" t="n"/>
      <c r="K15" s="133" t="n"/>
      <c r="L15" s="134" t="n"/>
      <c r="M15" s="134" t="n"/>
      <c r="N15" s="134" t="n"/>
    </row>
    <row r="16" customFormat="1" s="129">
      <c r="A16" s="130" t="n"/>
      <c r="B16" s="130" t="n"/>
      <c r="C16" s="130" t="n"/>
      <c r="D16" s="130" t="n"/>
      <c r="E16" s="131" t="n"/>
      <c r="F16" s="131" t="n"/>
      <c r="G16" s="132" t="n"/>
      <c r="H16" s="132" t="n"/>
      <c r="I16" s="132" t="n"/>
      <c r="J16" s="132" t="n"/>
      <c r="K16" s="133" t="n"/>
      <c r="L16" s="134" t="n"/>
      <c r="M16" s="134" t="n"/>
      <c r="N16" s="134" t="n"/>
    </row>
    <row r="17" customFormat="1" s="129">
      <c r="A17" s="130" t="n"/>
      <c r="B17" s="130" t="n"/>
      <c r="C17" s="130" t="n"/>
      <c r="D17" s="130" t="n"/>
      <c r="E17" s="131" t="n"/>
      <c r="F17" s="131" t="n"/>
      <c r="G17" s="132" t="n"/>
      <c r="H17" s="132" t="n"/>
      <c r="I17" s="132" t="n"/>
      <c r="J17" s="132" t="n"/>
      <c r="K17" s="133" t="n"/>
      <c r="L17" s="134" t="n"/>
      <c r="M17" s="134" t="n"/>
      <c r="N17" s="134" t="n"/>
    </row>
    <row r="18" customFormat="1" s="129">
      <c r="A18" s="135" t="n"/>
      <c r="B18" s="135" t="n"/>
      <c r="C18" s="135" t="n"/>
      <c r="D18" s="135" t="n"/>
      <c r="E18" s="136" t="n"/>
      <c r="F18" s="136" t="n"/>
      <c r="G18" s="137" t="n"/>
      <c r="H18" s="137" t="n"/>
      <c r="I18" s="137" t="n"/>
      <c r="J18" s="137" t="n"/>
      <c r="K18" s="138" t="n"/>
      <c r="L18" s="134" t="n"/>
      <c r="M18" s="134" t="n"/>
      <c r="N18" s="134" t="n"/>
    </row>
    <row r="19" customFormat="1" s="129">
      <c r="A19" s="135" t="n"/>
      <c r="B19" s="135" t="n"/>
      <c r="C19" s="135" t="n"/>
      <c r="D19" s="135" t="n"/>
      <c r="E19" s="136" t="n"/>
      <c r="F19" s="136" t="n"/>
      <c r="G19" s="137" t="n"/>
      <c r="H19" s="137" t="n"/>
      <c r="I19" s="137" t="n"/>
      <c r="J19" s="137" t="n"/>
      <c r="K19" s="138" t="n"/>
      <c r="L19" s="134" t="n"/>
      <c r="M19" s="134" t="n"/>
      <c r="N19" s="134" t="n"/>
    </row>
    <row r="20" customFormat="1" s="129">
      <c r="A20" s="135" t="n"/>
      <c r="B20" s="135" t="n"/>
      <c r="C20" s="135" t="n"/>
      <c r="D20" s="135" t="n"/>
      <c r="E20" s="136" t="n"/>
      <c r="F20" s="136" t="n"/>
      <c r="G20" s="137" t="n"/>
      <c r="H20" s="137" t="n"/>
      <c r="I20" s="137" t="n"/>
      <c r="J20" s="137" t="n"/>
      <c r="K20" s="138" t="n"/>
      <c r="L20" s="134" t="n"/>
      <c r="M20" s="134" t="n"/>
      <c r="N20" s="134" t="n"/>
    </row>
    <row r="21" customFormat="1" s="129">
      <c r="A21" s="135" t="n"/>
      <c r="B21" s="135" t="n"/>
      <c r="C21" s="135" t="n"/>
      <c r="D21" s="135" t="n"/>
      <c r="E21" s="136" t="n"/>
      <c r="F21" s="136" t="n"/>
      <c r="G21" s="137" t="n"/>
      <c r="H21" s="137" t="n"/>
      <c r="I21" s="137" t="n"/>
      <c r="J21" s="137" t="n"/>
      <c r="K21" s="138" t="n"/>
      <c r="L21" s="134" t="n"/>
      <c r="M21" s="134" t="n"/>
      <c r="N21" s="134" t="n"/>
    </row>
    <row r="22" customFormat="1" s="129">
      <c r="A22" s="139" t="n"/>
      <c r="B22" s="139" t="n"/>
      <c r="C22" s="139" t="n"/>
      <c r="D22" s="140" t="n"/>
      <c r="E22" s="136" t="n"/>
      <c r="F22" s="136" t="n"/>
      <c r="G22" s="137" t="n"/>
      <c r="H22" s="137" t="n"/>
      <c r="I22" s="137" t="n"/>
      <c r="J22" s="137" t="n"/>
      <c r="K22" s="138" t="n"/>
      <c r="L22" s="134" t="n"/>
      <c r="M22" s="134" t="n"/>
      <c r="N22" s="134" t="n"/>
    </row>
    <row r="23" customFormat="1" s="129">
      <c r="A23" s="135" t="n"/>
      <c r="B23" s="135" t="n"/>
      <c r="C23" s="135" t="n"/>
      <c r="D23" s="135" t="n"/>
      <c r="E23" s="136" t="n"/>
      <c r="F23" s="136" t="n"/>
      <c r="G23" s="137" t="n"/>
      <c r="H23" s="137" t="n"/>
      <c r="I23" s="137" t="n"/>
      <c r="J23" s="137" t="n"/>
      <c r="K23" s="138" t="n"/>
      <c r="L23" s="134" t="n"/>
      <c r="M23" s="134" t="n"/>
      <c r="N23" s="134" t="n"/>
    </row>
    <row r="24" customFormat="1" s="129">
      <c r="A24" s="135" t="n"/>
      <c r="B24" s="135" t="n"/>
      <c r="C24" s="135" t="n"/>
      <c r="D24" s="135" t="n"/>
      <c r="E24" s="136" t="n"/>
      <c r="F24" s="136" t="n"/>
      <c r="G24" s="137" t="n"/>
      <c r="H24" s="137" t="n"/>
      <c r="I24" s="137" t="n"/>
      <c r="J24" s="137" t="n"/>
      <c r="K24" s="138" t="n"/>
      <c r="L24" s="134" t="n"/>
      <c r="M24" s="134" t="n"/>
      <c r="N24" s="134" t="n"/>
    </row>
    <row r="25" customFormat="1" s="129">
      <c r="A25" s="135" t="n"/>
      <c r="B25" s="135" t="n"/>
      <c r="C25" s="135" t="n"/>
      <c r="D25" s="135" t="n"/>
      <c r="E25" s="136" t="n"/>
      <c r="F25" s="136" t="n"/>
      <c r="G25" s="137" t="n"/>
      <c r="H25" s="137" t="n"/>
      <c r="I25" s="137" t="n"/>
      <c r="J25" s="137" t="n"/>
      <c r="K25" s="138" t="n"/>
      <c r="L25" s="134" t="n"/>
      <c r="M25" s="134" t="n"/>
      <c r="N25" s="134" t="n"/>
    </row>
    <row r="26" customFormat="1" s="129">
      <c r="A26" s="135" t="n"/>
      <c r="B26" s="135" t="n"/>
      <c r="C26" s="135" t="n"/>
      <c r="D26" s="135" t="n"/>
      <c r="E26" s="136" t="n"/>
      <c r="F26" s="136" t="n"/>
      <c r="G26" s="137" t="n"/>
      <c r="H26" s="137" t="n"/>
      <c r="I26" s="137" t="n"/>
      <c r="J26" s="137" t="n"/>
      <c r="K26" s="138" t="n"/>
      <c r="L26" s="134" t="n"/>
      <c r="M26" s="134" t="n"/>
      <c r="N26" s="134" t="n"/>
    </row>
    <row r="27" customFormat="1" s="129">
      <c r="A27" s="135" t="n"/>
      <c r="B27" s="135" t="n"/>
      <c r="C27" s="135" t="n"/>
      <c r="D27" s="135" t="n"/>
      <c r="E27" s="136" t="n"/>
      <c r="F27" s="136" t="n"/>
      <c r="G27" s="137" t="n"/>
      <c r="H27" s="137" t="n"/>
      <c r="I27" s="137" t="n"/>
      <c r="J27" s="137" t="n"/>
      <c r="K27" s="138" t="n"/>
      <c r="L27" s="141" t="n"/>
      <c r="M27" s="134" t="n"/>
      <c r="N27" s="134" t="n"/>
    </row>
    <row r="28" customFormat="1" s="129">
      <c r="A28" s="135" t="n"/>
      <c r="B28" s="135" t="n"/>
      <c r="C28" s="135" t="n"/>
      <c r="D28" s="135" t="n"/>
      <c r="E28" s="136" t="n"/>
      <c r="F28" s="136" t="n"/>
      <c r="G28" s="137" t="n"/>
      <c r="H28" s="137" t="n"/>
      <c r="I28" s="137" t="n"/>
      <c r="J28" s="137" t="n"/>
      <c r="K28" s="138" t="n"/>
      <c r="L28" s="141" t="n"/>
      <c r="M28" s="134" t="n"/>
      <c r="N28" s="134" t="n"/>
    </row>
    <row r="29" customFormat="1" s="129">
      <c r="A29" s="135" t="n"/>
      <c r="B29" s="135" t="n"/>
      <c r="C29" s="135" t="n"/>
      <c r="D29" s="135" t="n"/>
      <c r="E29" s="136" t="n"/>
      <c r="F29" s="136" t="n"/>
      <c r="G29" s="137" t="n"/>
      <c r="H29" s="137" t="n"/>
      <c r="I29" s="137" t="n"/>
      <c r="J29" s="137" t="n"/>
      <c r="K29" s="138" t="n"/>
      <c r="L29" s="141" t="n"/>
      <c r="M29" s="134" t="n"/>
      <c r="N29" s="134" t="n"/>
    </row>
    <row r="30" customFormat="1" s="129">
      <c r="A30" s="135" t="n"/>
      <c r="B30" s="135" t="n"/>
      <c r="C30" s="135" t="n"/>
      <c r="D30" s="135" t="n"/>
      <c r="E30" s="136" t="n"/>
      <c r="F30" s="136" t="n"/>
      <c r="G30" s="137" t="n"/>
      <c r="H30" s="137" t="n"/>
      <c r="I30" s="137" t="n"/>
      <c r="J30" s="137" t="n"/>
      <c r="K30" s="138" t="n"/>
      <c r="L30" s="141" t="n"/>
      <c r="M30" s="134" t="n"/>
      <c r="N30" s="134" t="n"/>
    </row>
    <row r="31" customFormat="1" s="129">
      <c r="A31" s="135" t="n"/>
      <c r="B31" s="135" t="n"/>
      <c r="C31" s="135" t="n"/>
      <c r="D31" s="135" t="n"/>
      <c r="E31" s="136" t="n"/>
      <c r="F31" s="136" t="n"/>
      <c r="G31" s="137" t="n"/>
      <c r="H31" s="137" t="n"/>
      <c r="I31" s="137" t="n"/>
      <c r="J31" s="137" t="n"/>
      <c r="K31" s="138" t="n"/>
      <c r="L31" s="141" t="n"/>
      <c r="M31" s="134" t="n"/>
      <c r="N31" s="134" t="n"/>
    </row>
    <row r="32" ht="16" customHeight="1" thickBot="1">
      <c r="A32" s="142" t="n"/>
      <c r="B32" s="143" t="n"/>
      <c r="C32" s="143" t="n"/>
      <c r="D32" s="144" t="inlineStr">
        <is>
          <t>TOTAL</t>
        </is>
      </c>
      <c r="E32" s="145" t="n"/>
      <c r="F32" s="145" t="n"/>
      <c r="G32" s="146" t="inlineStr">
        <is>
          <t>USD</t>
        </is>
      </c>
      <c r="H32" s="147">
        <f>SUM(H9:H31)</f>
        <v/>
      </c>
      <c r="I32" s="147" t="n"/>
      <c r="J32" s="147">
        <f>SUM(J9:J31)</f>
        <v/>
      </c>
      <c r="K32" s="147" t="n"/>
      <c r="L32" s="148" t="n"/>
      <c r="M32" s="148" t="n"/>
      <c r="N32" s="149" t="n"/>
    </row>
    <row r="33" ht="16" customFormat="1" customHeight="1" s="129" thickTop="1">
      <c r="A33" s="135" t="n"/>
      <c r="B33" s="135" t="n"/>
      <c r="C33" s="135" t="n"/>
      <c r="D33" s="135" t="n"/>
      <c r="E33" s="136" t="n"/>
      <c r="F33" s="136" t="n"/>
      <c r="G33" s="137" t="n"/>
      <c r="H33" s="137" t="n"/>
      <c r="I33" s="137" t="n"/>
      <c r="J33" s="137" t="n"/>
      <c r="K33" s="138" t="n"/>
      <c r="L33" s="141" t="n"/>
      <c r="M33" s="134" t="n"/>
      <c r="N33" s="134" t="n"/>
    </row>
    <row r="34" customFormat="1" s="129">
      <c r="A34" s="135" t="n"/>
      <c r="B34" s="135" t="n"/>
      <c r="C34" s="135" t="n"/>
      <c r="D34" s="135" t="n"/>
      <c r="E34" s="136" t="inlineStr">
        <is>
          <t>Cross Check</t>
        </is>
      </c>
      <c r="F34" s="136" t="inlineStr">
        <is>
          <t>In Case of INC GST</t>
        </is>
      </c>
      <c r="G34" s="137" t="n"/>
      <c r="H34" s="137">
        <f>IF('[1]Recharge Form'!M33='[1]Multiple Hotels'!J32, "OK")</f>
        <v/>
      </c>
      <c r="I34" s="137" t="n"/>
      <c r="J34" s="137" t="n"/>
      <c r="K34" s="138" t="n"/>
      <c r="L34" s="141" t="n"/>
      <c r="M34" s="134" t="n"/>
      <c r="N34" s="134" t="n"/>
    </row>
    <row r="35" ht="16" customFormat="1" customHeight="1" s="129" thickBot="1">
      <c r="A35" s="135" t="n"/>
      <c r="B35" s="135" t="n"/>
      <c r="C35" s="135" t="n"/>
      <c r="D35" s="135" t="n"/>
      <c r="E35" s="136" t="n"/>
      <c r="F35" s="136" t="inlineStr">
        <is>
          <t>In Case of Exc GST</t>
        </is>
      </c>
      <c r="G35" s="137" t="n"/>
      <c r="H35" s="137">
        <f>IF('[1]Recharge Form'!M33='[1]Multiple Hotels'!H32,"OK")</f>
        <v/>
      </c>
      <c r="I35" s="137" t="n"/>
      <c r="J35" s="137" t="n"/>
      <c r="K35" s="138" t="n"/>
      <c r="L35" s="141" t="n"/>
      <c r="M35" s="134" t="n"/>
      <c r="N35" s="134" t="n"/>
    </row>
    <row r="36" ht="16" customHeight="1" thickTop="1">
      <c r="A36" s="150">
        <f>CELL("filename")</f>
        <v/>
      </c>
      <c r="B36" s="323" t="n"/>
      <c r="C36" s="323" t="n"/>
      <c r="D36" s="323" t="n"/>
      <c r="E36" s="323" t="n"/>
      <c r="F36" s="323" t="n"/>
      <c r="G36" s="323" t="n"/>
      <c r="H36" s="323" t="n"/>
      <c r="I36" s="323" t="n"/>
      <c r="J36" s="323" t="n"/>
      <c r="K36" s="323" t="n"/>
      <c r="L36" s="323" t="n"/>
      <c r="M36" s="323" t="n"/>
      <c r="N36" s="323" t="n"/>
    </row>
  </sheetData>
  <mergeCells count="4">
    <mergeCell ref="A5:N5"/>
    <mergeCell ref="A4:N4"/>
    <mergeCell ref="A36:N36"/>
    <mergeCell ref="A6:N6"/>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I10000"/>
  <sheetViews>
    <sheetView tabSelected="1" topLeftCell="A4" workbookViewId="0">
      <selection activeCell="G9" sqref="G9"/>
    </sheetView>
  </sheetViews>
  <sheetFormatPr baseColWidth="8" defaultColWidth="9.81640625" defaultRowHeight="12.5"/>
  <cols>
    <col width="7.1796875" customWidth="1" style="163" min="1" max="1"/>
    <col width="9.1796875" customWidth="1" style="163" min="2" max="2"/>
    <col width="10.26953125" customWidth="1" style="163" min="3" max="3"/>
    <col width="12.453125" bestFit="1" customWidth="1" style="163" min="4" max="4"/>
    <col width="12.1796875" customWidth="1" style="264" min="5" max="5"/>
    <col width="19.453125" customWidth="1" style="265" min="6" max="6"/>
    <col width="116.453125" bestFit="1" customWidth="1" style="163" min="7" max="7"/>
    <col width="7.81640625" customWidth="1" style="163" min="8" max="8"/>
    <col width="9.54296875" bestFit="1" customWidth="1" style="266" min="9" max="9"/>
    <col width="33.54296875" bestFit="1" customWidth="1" style="163" min="10" max="10"/>
    <col width="8.81640625" bestFit="1" customWidth="1" style="163" min="11" max="11"/>
    <col width="19.1796875" bestFit="1" customWidth="1" style="163" min="12" max="12"/>
    <col width="10" bestFit="1" customWidth="1" style="163" min="13" max="13"/>
    <col width="9" bestFit="1" customWidth="1" style="163" min="14" max="14"/>
    <col width="69.1796875" customWidth="1" style="267" min="15" max="15"/>
    <col width="10" bestFit="1" customWidth="1" style="268" min="16" max="16"/>
    <col width="7.7265625" bestFit="1" customWidth="1" style="268" min="17" max="17"/>
    <col width="10" bestFit="1" customWidth="1" style="268" min="18" max="18"/>
    <col width="6.1796875" bestFit="1" customWidth="1" style="268" min="19" max="19"/>
    <col width="10.453125" bestFit="1" customWidth="1" style="268" min="20" max="20"/>
    <col width="16.54296875" bestFit="1" customWidth="1" style="268" min="21" max="21"/>
    <col width="7.7265625" bestFit="1" customWidth="1" style="268" min="22" max="22"/>
    <col width="10" bestFit="1" customWidth="1" style="268" min="23" max="23"/>
    <col width="7.26953125" bestFit="1" customWidth="1" style="268" min="24" max="24"/>
    <col width="10.453125" bestFit="1" customWidth="1" style="268" min="25" max="25"/>
    <col width="14.54296875" bestFit="1" customWidth="1" style="269" min="26" max="26"/>
    <col width="14.54296875" customWidth="1" style="163" min="27" max="27"/>
    <col width="13.453125" bestFit="1" customWidth="1" style="265" min="28" max="28"/>
    <col width="27" bestFit="1" customWidth="1" style="268" min="29" max="29"/>
    <col width="10.453125" bestFit="1" customWidth="1" style="163" min="30" max="31"/>
    <col width="6" bestFit="1" customWidth="1" style="163" min="32" max="32"/>
    <col width="8.54296875" bestFit="1" customWidth="1" style="163" min="33" max="33"/>
    <col width="6.453125" bestFit="1" customWidth="1" style="163" min="34" max="34"/>
    <col width="9.81640625" customWidth="1" style="163" min="35" max="16384"/>
  </cols>
  <sheetData>
    <row r="1" ht="63.75" customHeight="1">
      <c r="A1" s="152" t="n"/>
      <c r="B1" s="152" t="n"/>
      <c r="C1" s="153" t="n"/>
      <c r="D1" s="153" t="n"/>
      <c r="E1" s="154" t="n"/>
      <c r="F1" s="155" t="n"/>
      <c r="G1" s="156" t="n"/>
      <c r="H1" s="157" t="n"/>
      <c r="I1" s="158" t="n"/>
      <c r="J1" s="156" t="n"/>
      <c r="K1" s="156" t="n"/>
      <c r="L1" s="156" t="n"/>
      <c r="M1" s="156" t="n"/>
      <c r="N1" s="152" t="n"/>
      <c r="O1" s="159" t="n"/>
      <c r="P1" s="160" t="n"/>
      <c r="Q1" s="160" t="n"/>
      <c r="R1" s="160" t="n"/>
      <c r="S1" s="160" t="n"/>
      <c r="T1" s="160" t="n"/>
      <c r="U1" s="160" t="n"/>
      <c r="V1" s="160" t="n"/>
      <c r="W1" s="160" t="n"/>
      <c r="X1" s="160" t="n"/>
      <c r="Y1" s="160" t="n"/>
      <c r="Z1" s="161" t="n"/>
      <c r="AA1" s="152" t="n"/>
      <c r="AB1" s="162" t="n"/>
      <c r="AC1" s="160" t="n"/>
      <c r="AD1" s="152" t="n"/>
      <c r="AE1" s="152" t="n"/>
      <c r="AF1" s="152" t="n"/>
      <c r="AG1" s="152" t="n"/>
      <c r="AH1" s="152" t="n"/>
    </row>
    <row r="2" ht="17.25" customHeight="1">
      <c r="A2" s="152" t="n"/>
      <c r="B2" s="152" t="n"/>
      <c r="C2" s="153" t="n"/>
      <c r="D2" s="153" t="n"/>
      <c r="E2" s="154" t="n"/>
      <c r="F2" s="164" t="inlineStr">
        <is>
          <t>PeopleSoft Billing Misc Spreadsheet Upload</t>
        </is>
      </c>
      <c r="G2" s="165" t="n"/>
      <c r="H2" s="166" t="n"/>
      <c r="I2" s="167" t="n"/>
      <c r="J2" s="165" t="n"/>
      <c r="K2" s="165" t="n"/>
      <c r="L2" s="165" t="n"/>
      <c r="M2" s="165" t="n"/>
      <c r="N2" s="152" t="n"/>
      <c r="O2" s="159" t="n"/>
      <c r="P2" s="160" t="n"/>
      <c r="Q2" s="160" t="n"/>
      <c r="R2" s="160" t="n"/>
      <c r="S2" s="160" t="n"/>
      <c r="T2" s="160" t="n"/>
      <c r="U2" s="160" t="n"/>
      <c r="V2" s="160" t="n"/>
      <c r="W2" s="160" t="n"/>
      <c r="X2" s="160" t="n"/>
      <c r="Y2" s="160" t="n"/>
      <c r="Z2" s="161" t="n"/>
      <c r="AA2" s="160" t="n"/>
      <c r="AB2" s="168" t="n"/>
      <c r="AC2" s="160" t="n"/>
      <c r="AD2" s="152" t="n"/>
      <c r="AE2" s="152" t="n"/>
      <c r="AF2" s="152" t="n"/>
      <c r="AG2" s="152" t="n"/>
      <c r="AH2" s="152" t="n"/>
    </row>
    <row r="3" ht="14.25" customHeight="1">
      <c r="A3" s="152" t="n"/>
      <c r="B3" s="152" t="n"/>
      <c r="C3" s="152" t="n"/>
      <c r="D3" s="152" t="n"/>
      <c r="E3" s="169" t="n"/>
      <c r="F3" s="170" t="n"/>
      <c r="G3" s="171" t="n"/>
      <c r="H3" s="171" t="n"/>
      <c r="I3" s="172" t="n"/>
      <c r="J3" s="171" t="n"/>
      <c r="K3" s="171" t="n"/>
      <c r="L3" s="171" t="n"/>
      <c r="M3" s="171" t="n"/>
      <c r="N3" s="152" t="n"/>
      <c r="O3" s="159" t="n"/>
      <c r="P3" s="160" t="n"/>
      <c r="Q3" s="160" t="n"/>
      <c r="R3" s="160" t="n"/>
      <c r="S3" s="160" t="n"/>
      <c r="T3" s="160" t="n"/>
      <c r="U3" s="160" t="n"/>
      <c r="V3" s="160" t="n"/>
      <c r="W3" s="160" t="n"/>
      <c r="X3" s="160" t="n"/>
      <c r="Y3" s="160" t="n"/>
      <c r="Z3" s="161" t="n"/>
      <c r="AA3" s="152" t="n"/>
      <c r="AB3" s="162" t="n"/>
      <c r="AC3" s="160" t="n"/>
      <c r="AD3" s="152" t="n"/>
      <c r="AE3" s="152" t="n"/>
      <c r="AF3" s="152" t="n"/>
      <c r="AG3" s="152" t="n"/>
      <c r="AH3" s="152" t="n"/>
    </row>
    <row r="4" ht="14.25" customHeight="1">
      <c r="A4" s="152" t="n"/>
      <c r="B4" s="152" t="n"/>
      <c r="C4" s="152" t="n"/>
      <c r="D4" s="152" t="n"/>
      <c r="E4" s="169" t="n"/>
      <c r="F4" s="170" t="n"/>
      <c r="G4" s="171" t="n"/>
      <c r="H4" s="171" t="n"/>
      <c r="I4" s="172" t="n"/>
      <c r="J4" s="171" t="n"/>
      <c r="K4" s="171" t="n"/>
      <c r="L4" s="171" t="n"/>
      <c r="M4" s="171" t="n"/>
      <c r="N4" s="152" t="n"/>
      <c r="O4" s="159" t="n"/>
      <c r="P4" s="160" t="n"/>
      <c r="Q4" s="160" t="n"/>
      <c r="R4" s="160" t="n"/>
      <c r="S4" s="160" t="n"/>
      <c r="T4" s="160" t="n"/>
      <c r="U4" s="160" t="n"/>
      <c r="V4" s="160" t="n"/>
      <c r="W4" s="160" t="n"/>
      <c r="X4" s="160" t="n"/>
      <c r="Y4" s="160" t="n"/>
      <c r="Z4" s="161" t="n"/>
      <c r="AA4" s="152" t="n"/>
      <c r="AB4" s="162" t="n"/>
      <c r="AC4" s="160" t="n"/>
      <c r="AD4" s="152" t="n"/>
      <c r="AE4" s="152" t="n"/>
      <c r="AF4" s="152" t="n"/>
      <c r="AG4" s="152" t="n"/>
      <c r="AH4" s="152" t="n"/>
    </row>
    <row r="5" ht="17.15" customHeight="1">
      <c r="A5" s="197" t="inlineStr">
        <is>
          <t>BILL TYPE:</t>
        </is>
      </c>
      <c r="B5" s="174" t="n"/>
      <c r="C5" s="175" t="n"/>
      <c r="D5" s="175" t="n"/>
      <c r="E5" s="176" t="inlineStr">
        <is>
          <t>REG</t>
        </is>
      </c>
      <c r="F5" s="177" t="inlineStr">
        <is>
          <t xml:space="preserve">  TOTAL BILLING MISC COUNT:</t>
        </is>
      </c>
      <c r="G5" s="178" t="n"/>
      <c r="H5" s="179" t="n"/>
      <c r="I5" s="180" t="n">
        <v>135440.47</v>
      </c>
      <c r="J5" s="181" t="inlineStr">
        <is>
          <t>Use Intercompany Defaults</t>
        </is>
      </c>
      <c r="K5" s="182" t="n"/>
      <c r="L5" s="182" t="n"/>
      <c r="M5" s="183" t="n"/>
      <c r="N5" s="184" t="b">
        <v>1</v>
      </c>
      <c r="O5" s="159" t="n"/>
      <c r="P5" s="160" t="n"/>
      <c r="Q5" s="160" t="n"/>
      <c r="R5" s="160" t="n"/>
      <c r="S5" s="160" t="n"/>
      <c r="T5" s="160" t="n"/>
      <c r="U5" s="160" t="n"/>
      <c r="V5" s="160" t="n"/>
      <c r="W5" s="160" t="n"/>
      <c r="X5" s="160" t="n"/>
      <c r="Y5" s="160" t="n"/>
      <c r="Z5" s="161" t="n"/>
      <c r="AA5" s="152" t="n"/>
      <c r="AB5" s="162" t="n"/>
      <c r="AC5" s="160" t="n"/>
      <c r="AD5" s="152" t="n"/>
      <c r="AE5" s="152" t="n"/>
      <c r="AF5" s="152" t="n"/>
      <c r="AG5" s="152" t="n"/>
      <c r="AH5" s="152" t="n"/>
    </row>
    <row r="6" ht="17.15" customHeight="1" thickBot="1">
      <c r="A6" s="185" t="inlineStr">
        <is>
          <t>BILLING MISC HDR DATE:</t>
        </is>
      </c>
      <c r="B6" s="186" t="n"/>
      <c r="C6" s="185" t="n"/>
      <c r="D6" s="187" t="n"/>
      <c r="E6" s="188" t="n"/>
      <c r="F6" s="189" t="inlineStr">
        <is>
          <t xml:space="preserve">  TOTAL BILLING MISC AMOUNT:</t>
        </is>
      </c>
      <c r="G6" s="178" t="n"/>
      <c r="H6" s="179" t="n"/>
      <c r="I6" s="190" t="n"/>
      <c r="J6" s="152" t="n"/>
      <c r="K6" s="171" t="n"/>
      <c r="L6" s="171" t="n"/>
      <c r="M6" s="171" t="n"/>
      <c r="N6" s="152" t="n"/>
      <c r="O6" s="159" t="n"/>
      <c r="P6" s="160" t="n"/>
      <c r="Q6" s="160" t="n"/>
      <c r="R6" s="160" t="n"/>
      <c r="S6" s="160" t="n"/>
      <c r="T6" s="160" t="n"/>
      <c r="U6" s="160" t="n"/>
      <c r="V6" s="160" t="n"/>
      <c r="W6" s="160" t="n"/>
      <c r="X6" s="160" t="n"/>
      <c r="Y6" s="160" t="n"/>
      <c r="Z6" s="161" t="n"/>
      <c r="AA6" s="152" t="n"/>
      <c r="AB6" s="162" t="n"/>
      <c r="AC6" s="160" t="n"/>
      <c r="AD6" s="152" t="n"/>
      <c r="AE6" s="152" t="n"/>
      <c r="AF6" s="152" t="n"/>
      <c r="AG6" s="152" t="n"/>
      <c r="AH6" s="152" t="n"/>
    </row>
    <row r="7" ht="17.15" customHeight="1">
      <c r="A7" s="191" t="inlineStr">
        <is>
          <t>PROCESS USING HDR DATE:</t>
        </is>
      </c>
      <c r="B7" s="192" t="n"/>
      <c r="C7" s="192" t="n"/>
      <c r="D7" s="192" t="n"/>
      <c r="E7" s="193" t="b">
        <v>0</v>
      </c>
      <c r="F7" s="194" t="n"/>
      <c r="G7" s="195" t="n"/>
      <c r="H7" s="196" t="n"/>
      <c r="I7" s="172" t="n"/>
      <c r="J7" s="327" t="inlineStr">
        <is>
          <t>REVENUE</t>
        </is>
      </c>
      <c r="K7" s="301" t="n"/>
      <c r="L7" s="301" t="n"/>
      <c r="M7" s="301" t="n"/>
      <c r="N7" s="301" t="n"/>
      <c r="O7" s="302" t="n"/>
      <c r="P7" s="203" t="inlineStr">
        <is>
          <t>IU - EXPENSE</t>
        </is>
      </c>
      <c r="Q7" s="301" t="n"/>
      <c r="R7" s="301" t="n"/>
      <c r="S7" s="301" t="n"/>
      <c r="T7" s="202" t="n"/>
      <c r="U7" s="203" t="inlineStr">
        <is>
          <t>IU - PAYABLE</t>
        </is>
      </c>
      <c r="V7" s="202" t="n"/>
      <c r="W7" s="202" t="n"/>
      <c r="X7" s="202" t="n"/>
      <c r="Y7" s="204" t="n"/>
      <c r="Z7" s="161" t="n"/>
      <c r="AA7" s="152" t="n"/>
      <c r="AB7" s="162" t="n"/>
      <c r="AC7" s="160" t="n"/>
      <c r="AD7" s="152" t="n"/>
      <c r="AE7" s="152" t="n"/>
      <c r="AF7" s="152" t="n"/>
      <c r="AG7" s="152" t="n"/>
      <c r="AH7" s="152" t="n"/>
    </row>
    <row r="8" ht="12.75" customFormat="1" customHeight="1" s="223">
      <c r="A8" s="205" t="n"/>
      <c r="B8" s="206" t="n"/>
      <c r="C8" s="207" t="n"/>
      <c r="D8" s="208" t="n"/>
      <c r="E8" s="209" t="inlineStr">
        <is>
          <t xml:space="preserve">TRANS  </t>
        </is>
      </c>
      <c r="F8" s="210" t="inlineStr">
        <is>
          <t> </t>
        </is>
      </c>
      <c r="G8" s="211" t="inlineStr">
        <is>
          <t>SHORT</t>
        </is>
      </c>
      <c r="H8" s="212" t="inlineStr">
        <is>
          <t xml:space="preserve">CURR </t>
        </is>
      </c>
      <c r="I8" s="213" t="n"/>
      <c r="J8" s="214" t="inlineStr">
        <is>
          <t> </t>
        </is>
      </c>
      <c r="K8" s="215" t="n"/>
      <c r="L8" s="215" t="n"/>
      <c r="M8" s="215" t="n"/>
      <c r="N8" s="215" t="inlineStr">
        <is>
          <t xml:space="preserve">  OPER</t>
        </is>
      </c>
      <c r="O8" s="216" t="inlineStr">
        <is>
          <t> </t>
        </is>
      </c>
      <c r="P8" s="217" t="n"/>
      <c r="Q8" s="218" t="n"/>
      <c r="R8" s="218" t="n"/>
      <c r="S8" s="219" t="inlineStr">
        <is>
          <t>OPER</t>
        </is>
      </c>
      <c r="T8" s="219" t="inlineStr">
        <is>
          <t> </t>
        </is>
      </c>
      <c r="U8" s="218" t="n"/>
      <c r="V8" s="218" t="n"/>
      <c r="W8" s="218" t="n"/>
      <c r="X8" s="218" t="inlineStr">
        <is>
          <t xml:space="preserve">  OPER</t>
        </is>
      </c>
      <c r="Y8" s="218" t="n"/>
      <c r="Z8" s="220" t="n"/>
      <c r="AA8" s="207" t="n"/>
      <c r="AB8" s="221" t="n"/>
      <c r="AC8" s="218" t="n"/>
      <c r="AD8" s="207" t="n"/>
      <c r="AE8" s="207" t="inlineStr">
        <is>
          <t xml:space="preserve">     VAT</t>
        </is>
      </c>
      <c r="AF8" s="210" t="inlineStr">
        <is>
          <t>VAT</t>
        </is>
      </c>
      <c r="AG8" s="222" t="inlineStr">
        <is>
          <t>Order</t>
        </is>
      </c>
      <c r="AH8" s="210" t="inlineStr">
        <is>
          <t>IU</t>
        </is>
      </c>
    </row>
    <row r="9" ht="26" customFormat="1" customHeight="1" s="236">
      <c r="A9" s="224" t="inlineStr">
        <is>
          <t>LINE #</t>
        </is>
      </c>
      <c r="B9" s="225" t="inlineStr">
        <is>
          <t>BU</t>
        </is>
      </c>
      <c r="C9" s="226" t="inlineStr">
        <is>
          <t>CUSTID #</t>
        </is>
      </c>
      <c r="D9" s="227" t="n"/>
      <c r="E9" s="228" t="inlineStr">
        <is>
          <t>DATE</t>
        </is>
      </c>
      <c r="F9" s="225" t="inlineStr">
        <is>
          <t>CHARGE ID</t>
        </is>
      </c>
      <c r="G9" s="214" t="inlineStr">
        <is>
          <t xml:space="preserve">      DESCRIPTION</t>
        </is>
      </c>
      <c r="H9" s="207" t="inlineStr">
        <is>
          <t xml:space="preserve"> CODE</t>
        </is>
      </c>
      <c r="I9" s="229" t="inlineStr">
        <is>
          <t>AMOUNT</t>
        </is>
      </c>
      <c r="J9" s="214" t="inlineStr">
        <is>
          <t>ACCOUNT</t>
        </is>
      </c>
      <c r="K9" s="215" t="inlineStr">
        <is>
          <t xml:space="preserve">  DEPTID</t>
        </is>
      </c>
      <c r="L9" s="216" t="inlineStr">
        <is>
          <t>Transfer Revenue to this Cost Center</t>
        </is>
      </c>
      <c r="M9" s="215" t="inlineStr">
        <is>
          <t>PRODUCT</t>
        </is>
      </c>
      <c r="N9" s="215" t="inlineStr">
        <is>
          <t xml:space="preserve">   UNIT</t>
        </is>
      </c>
      <c r="O9" s="230" t="inlineStr">
        <is>
          <t>TEXT 254</t>
        </is>
      </c>
      <c r="P9" s="231" t="inlineStr">
        <is>
          <t>ACCOUNT</t>
        </is>
      </c>
      <c r="Q9" s="232" t="inlineStr">
        <is>
          <t>DEPTID</t>
        </is>
      </c>
      <c r="R9" s="233" t="inlineStr">
        <is>
          <t>PRODUCT</t>
        </is>
      </c>
      <c r="S9" s="232" t="inlineStr">
        <is>
          <t>UNIT</t>
        </is>
      </c>
      <c r="T9" s="232" t="inlineStr">
        <is>
          <t>AFFILIATE</t>
        </is>
      </c>
      <c r="U9" s="233" t="inlineStr">
        <is>
          <t>ACCOUNT</t>
        </is>
      </c>
      <c r="V9" s="232" t="inlineStr">
        <is>
          <t>DEPTID</t>
        </is>
      </c>
      <c r="W9" s="233" t="inlineStr">
        <is>
          <t>PRODUCT</t>
        </is>
      </c>
      <c r="X9" s="233" t="inlineStr">
        <is>
          <t xml:space="preserve">  UNIT</t>
        </is>
      </c>
      <c r="Y9" s="233" t="inlineStr">
        <is>
          <t>AFFILIATE</t>
        </is>
      </c>
      <c r="Z9" s="234" t="inlineStr">
        <is>
          <t>Training 
Order Number</t>
        </is>
      </c>
      <c r="AA9" s="230" t="n"/>
      <c r="AB9" s="235" t="inlineStr">
        <is>
          <t>Offering Date</t>
        </is>
      </c>
      <c r="AC9" s="233" t="inlineStr">
        <is>
          <t>Learners Name</t>
        </is>
      </c>
      <c r="AD9" s="215" t="n"/>
      <c r="AE9" s="215" t="inlineStr">
        <is>
          <t>Tran Type</t>
        </is>
      </c>
      <c r="AF9" s="225" t="inlineStr">
        <is>
          <t>Code</t>
        </is>
      </c>
      <c r="AG9" s="226" t="inlineStr">
        <is>
          <t>Number</t>
        </is>
      </c>
      <c r="AH9" s="225" t="inlineStr">
        <is>
          <t>BU To</t>
        </is>
      </c>
    </row>
    <row r="10" ht="14" customFormat="1" customHeight="1" s="238">
      <c r="A10" s="237" t="n">
        <v>1</v>
      </c>
      <c r="B10" s="237" t="inlineStr">
        <is>
          <t>P5016</t>
        </is>
      </c>
      <c r="C10" s="237" t="inlineStr">
        <is>
          <t>PHUTH</t>
        </is>
      </c>
      <c r="E10" s="239" t="inlineStr">
        <is>
          <t>4/24/2026</t>
        </is>
      </c>
      <c r="F10" s="237" t="inlineStr">
        <is>
          <t>LMS Training</t>
        </is>
      </c>
      <c r="G10" s="237" t="inlineStr">
        <is>
          <t>Offering of IHG Way of Sales - Effective Sales Negotiations</t>
        </is>
      </c>
      <c r="H10" s="237" t="inlineStr">
        <is>
          <t>USD</t>
        </is>
      </c>
      <c r="I10" s="237" t="n">
        <v>375</v>
      </c>
      <c r="J10" s="237" t="n"/>
      <c r="K10" s="237" t="n">
        <v>76615</v>
      </c>
      <c r="L10" s="237" t="n"/>
      <c r="M10" s="237" t="n"/>
      <c r="N10" s="237" t="n"/>
      <c r="O10" s="237" t="inlineStr">
        <is>
          <t>Offering of IHG Way of Sales - Effective Sales Negotiations</t>
        </is>
      </c>
      <c r="P10" s="237" t="n"/>
      <c r="Q10" s="237" t="n"/>
      <c r="R10" s="237" t="n"/>
      <c r="S10" s="237" t="n"/>
      <c r="T10" s="237" t="n"/>
      <c r="U10" s="237" t="n"/>
      <c r="V10" s="237" t="n"/>
      <c r="W10" s="237" t="n"/>
      <c r="X10" s="237" t="n"/>
      <c r="Y10" s="237" t="n"/>
      <c r="Z10" s="240" t="n">
        <v>19200</v>
      </c>
      <c r="AA10" s="237" t="n"/>
      <c r="AB10" s="241" t="inlineStr">
        <is>
          <t>3/25/2026</t>
        </is>
      </c>
      <c r="AC10" s="237" t="inlineStr">
        <is>
          <t>sales hirp</t>
        </is>
      </c>
      <c r="AD10" s="237" t="n"/>
      <c r="AE10" s="237" t="n"/>
      <c r="AF10" s="237" t="n"/>
      <c r="AG10" s="237" t="n"/>
      <c r="AH10" s="237" t="n"/>
      <c r="AI10" s="237" t="n"/>
      <c r="AJ10" s="237" t="n"/>
      <c r="AK10" s="237" t="n"/>
      <c r="AL10" s="237" t="n"/>
      <c r="AM10" s="237" t="n"/>
      <c r="AN10" s="237" t="n"/>
      <c r="AO10" s="237" t="n"/>
      <c r="AP10" s="237" t="n"/>
      <c r="AQ10" s="237" t="n"/>
      <c r="AR10" s="237" t="n"/>
      <c r="AS10" s="237" t="n"/>
      <c r="AT10" s="237" t="n"/>
      <c r="BG10" s="237" t="n"/>
      <c r="BH10" s="237" t="n"/>
      <c r="BI10" s="237" t="n"/>
      <c r="BJ10" s="237" t="n"/>
      <c r="BK10" s="237" t="n"/>
      <c r="BL10" s="237" t="n"/>
      <c r="BM10" s="237" t="n"/>
    </row>
    <row r="11" ht="14" customFormat="1" customHeight="1" s="238">
      <c r="A11" s="237" t="n">
        <v>2</v>
      </c>
      <c r="B11" s="237" t="inlineStr">
        <is>
          <t>P6066</t>
        </is>
      </c>
      <c r="C11" s="237" t="inlineStr">
        <is>
          <t>HGHTH</t>
        </is>
      </c>
      <c r="E11" s="239" t="inlineStr">
        <is>
          <t>4/24/2026</t>
        </is>
      </c>
      <c r="F11" s="237" t="inlineStr">
        <is>
          <t>LMS Training</t>
        </is>
      </c>
      <c r="G11" s="237" t="inlineStr">
        <is>
          <t>Offering of Group Training Certificate</t>
        </is>
      </c>
      <c r="H11" s="237" t="inlineStr">
        <is>
          <t>CNY</t>
        </is>
      </c>
      <c r="I11" s="237" t="n">
        <v>4240</v>
      </c>
      <c r="J11" s="237" t="n"/>
      <c r="K11" s="237" t="n">
        <v>73576</v>
      </c>
      <c r="L11" s="237" t="n"/>
      <c r="M11" s="237" t="n"/>
      <c r="N11" s="237" t="n"/>
      <c r="O11" s="237" t="inlineStr">
        <is>
          <t>Offering of Group Training Certificate</t>
        </is>
      </c>
      <c r="P11" s="237" t="n"/>
      <c r="Q11" s="237" t="n"/>
      <c r="R11" s="237" t="n"/>
      <c r="S11" s="237" t="n"/>
      <c r="T11" s="237" t="n"/>
      <c r="U11" s="237" t="n"/>
      <c r="V11" s="237" t="n"/>
      <c r="W11" s="237" t="n"/>
      <c r="X11" s="237" t="n"/>
      <c r="Y11" s="237" t="n"/>
      <c r="Z11" s="240" t="n">
        <v>20040</v>
      </c>
      <c r="AA11" s="237" t="n"/>
      <c r="AB11" s="242" t="inlineStr">
        <is>
          <t>3/24/2026</t>
        </is>
      </c>
      <c r="AC11" s="237" t="inlineStr">
        <is>
          <t>Helen zhou</t>
        </is>
      </c>
      <c r="AD11" s="237" t="n"/>
      <c r="AE11" s="237" t="n"/>
      <c r="AF11" s="237" t="n"/>
      <c r="AG11" s="237" t="n"/>
      <c r="AH11" s="237" t="n"/>
      <c r="AI11" s="237" t="n"/>
      <c r="AJ11" s="237" t="n"/>
      <c r="AK11" s="237" t="n"/>
      <c r="AL11" s="237" t="n"/>
      <c r="AM11" s="237" t="n"/>
      <c r="AN11" s="237" t="n"/>
      <c r="AO11" s="237" t="n"/>
      <c r="AP11" s="237" t="n"/>
      <c r="AQ11" s="237" t="n"/>
      <c r="AR11" s="237" t="n"/>
      <c r="AS11" s="237" t="n"/>
      <c r="AT11" s="237" t="n"/>
      <c r="AU11" s="237" t="n"/>
      <c r="AV11" s="237" t="n"/>
      <c r="AW11" s="237" t="n"/>
      <c r="AX11" s="237" t="n"/>
      <c r="AY11" s="237" t="n"/>
      <c r="AZ11" s="237" t="n"/>
      <c r="BA11" s="237" t="n"/>
      <c r="BB11" s="237" t="n"/>
      <c r="BC11" s="237" t="n"/>
      <c r="BD11" s="237" t="n"/>
      <c r="BE11" s="237" t="n"/>
      <c r="BF11" s="237" t="n"/>
      <c r="BG11" s="237" t="n"/>
      <c r="BH11" s="237" t="n"/>
      <c r="BI11" s="237" t="n"/>
      <c r="BJ11" s="237" t="n"/>
      <c r="BK11" s="237" t="n"/>
      <c r="BL11" s="237" t="n"/>
      <c r="BM11" s="237" t="n"/>
    </row>
    <row r="12" ht="14" customFormat="1" customHeight="1" s="238">
      <c r="A12" s="237" t="n">
        <v>3</v>
      </c>
      <c r="B12" s="237" t="inlineStr">
        <is>
          <t>P6066</t>
        </is>
      </c>
      <c r="C12" s="237" t="inlineStr">
        <is>
          <t>SZVJL</t>
        </is>
      </c>
      <c r="E12" s="239" t="inlineStr">
        <is>
          <t>4/24/2026</t>
        </is>
      </c>
      <c r="F12" s="237" t="inlineStr">
        <is>
          <t>LMS Training</t>
        </is>
      </c>
      <c r="G12" s="237" t="inlineStr">
        <is>
          <t>Offering of Group Training Certificate</t>
        </is>
      </c>
      <c r="H12" s="237" t="inlineStr">
        <is>
          <t>CNY</t>
        </is>
      </c>
      <c r="I12" s="237" t="n">
        <v>4240</v>
      </c>
      <c r="J12" s="237" t="n"/>
      <c r="K12" s="237" t="n">
        <v>73576</v>
      </c>
      <c r="L12" s="237" t="n"/>
      <c r="M12" s="237" t="n"/>
      <c r="N12" s="237" t="n"/>
      <c r="O12" s="237" t="inlineStr">
        <is>
          <t>Offering of Group Training Certificate</t>
        </is>
      </c>
      <c r="P12" s="237" t="n"/>
      <c r="Q12" s="237" t="n"/>
      <c r="R12" s="237" t="n"/>
      <c r="S12" s="237" t="n"/>
      <c r="T12" s="237" t="n"/>
      <c r="U12" s="237" t="n"/>
      <c r="V12" s="237" t="n"/>
      <c r="W12" s="237" t="n"/>
      <c r="X12" s="237" t="n"/>
      <c r="Y12" s="237" t="n"/>
      <c r="Z12" s="240" t="n">
        <v>20046</v>
      </c>
      <c r="AA12" s="237" t="n"/>
      <c r="AB12" s="242" t="inlineStr">
        <is>
          <t>3/24/2026</t>
        </is>
      </c>
      <c r="AC12" s="237" t="inlineStr">
        <is>
          <t>Yuan Yuan Zhang</t>
        </is>
      </c>
      <c r="AD12" s="237" t="n"/>
      <c r="AE12" s="237" t="n"/>
      <c r="AF12" s="237" t="n"/>
      <c r="AG12" s="237" t="n"/>
      <c r="AH12" s="237" t="n"/>
      <c r="AI12" s="237" t="n"/>
      <c r="AJ12" s="237" t="n"/>
      <c r="AK12" s="237" t="n"/>
      <c r="AL12" s="237" t="n"/>
      <c r="AM12" s="237" t="n"/>
      <c r="AN12" s="237" t="n"/>
      <c r="AO12" s="237" t="n"/>
      <c r="AP12" s="237" t="n"/>
      <c r="AQ12" s="237" t="n"/>
      <c r="AR12" s="237" t="n"/>
      <c r="AS12" s="237" t="n"/>
      <c r="AU12" s="237" t="n"/>
      <c r="AV12" s="237" t="n"/>
      <c r="AW12" s="237" t="n"/>
      <c r="AX12" s="237" t="n"/>
      <c r="AY12" s="237" t="n"/>
      <c r="AZ12" s="237" t="n"/>
      <c r="BA12" s="237" t="n"/>
      <c r="BB12" s="237" t="n"/>
      <c r="BC12" s="237" t="n"/>
      <c r="BD12" s="237" t="n"/>
      <c r="BE12" s="237" t="n"/>
      <c r="BF12" s="237" t="n"/>
      <c r="BG12" s="237" t="n"/>
      <c r="BH12" s="237" t="n"/>
      <c r="BI12" s="237" t="n"/>
      <c r="BJ12" s="237" t="n"/>
      <c r="BK12" s="237" t="n"/>
      <c r="BL12" s="237" t="n"/>
      <c r="BM12" s="237" t="n"/>
    </row>
    <row r="13" ht="14" customFormat="1" customHeight="1" s="238">
      <c r="A13" s="237" t="n">
        <v>4</v>
      </c>
      <c r="B13" s="237" t="inlineStr">
        <is>
          <t>P6066</t>
        </is>
      </c>
      <c r="C13" s="237" t="inlineStr">
        <is>
          <t>HGHHB</t>
        </is>
      </c>
      <c r="E13" s="239" t="inlineStr">
        <is>
          <t>4/24/2026</t>
        </is>
      </c>
      <c r="F13" s="237" t="inlineStr">
        <is>
          <t>LMS Training</t>
        </is>
      </c>
      <c r="G13" s="237" t="inlineStr">
        <is>
          <t>Offering of Training Needs Diagnosis (Lead Business-Driven Training) (Chinese)</t>
        </is>
      </c>
      <c r="H13" s="237" t="inlineStr">
        <is>
          <t>CNY</t>
        </is>
      </c>
      <c r="I13" s="237" t="n">
        <v>2120</v>
      </c>
      <c r="J13" s="237" t="n"/>
      <c r="K13" s="237" t="n">
        <v>73576</v>
      </c>
      <c r="L13" s="237" t="n"/>
      <c r="M13" s="237" t="n"/>
      <c r="N13" s="237" t="n"/>
      <c r="O13" s="237" t="inlineStr">
        <is>
          <t>Offering of Training Needs Diagnosis (Lead Business-Driven Training) (Chinese)</t>
        </is>
      </c>
      <c r="P13" s="237" t="n"/>
      <c r="Q13" s="237" t="n"/>
      <c r="R13" s="237" t="n"/>
      <c r="S13" s="237" t="n"/>
      <c r="T13" s="237" t="n"/>
      <c r="U13" s="237" t="n"/>
      <c r="V13" s="237" t="n"/>
      <c r="W13" s="237" t="n"/>
      <c r="X13" s="237" t="n"/>
      <c r="Y13" s="237" t="n"/>
      <c r="Z13" s="240" t="n">
        <v>20056</v>
      </c>
      <c r="AA13" s="237" t="n"/>
      <c r="AB13" s="237" t="inlineStr">
        <is>
          <t>3/26/2026</t>
        </is>
      </c>
      <c r="AC13" s="237" t="inlineStr">
        <is>
          <t>fu xuemei</t>
        </is>
      </c>
      <c r="AD13" s="237" t="n"/>
      <c r="AE13" s="237" t="n"/>
      <c r="AF13" s="237" t="n"/>
      <c r="AG13" s="237" t="n"/>
      <c r="AH13" s="237" t="n"/>
      <c r="AI13" s="237" t="n"/>
      <c r="AJ13" s="237" t="n"/>
      <c r="AK13" s="237" t="n"/>
      <c r="AL13" s="237" t="n"/>
      <c r="AM13" s="237" t="n"/>
      <c r="AN13" s="237" t="n"/>
      <c r="AO13" s="237" t="n"/>
      <c r="AP13" s="237" t="n"/>
      <c r="AQ13" s="237" t="n"/>
      <c r="AR13" s="237" t="n"/>
      <c r="AS13" s="237" t="n"/>
      <c r="AU13" s="237" t="n"/>
      <c r="AV13" s="237" t="n"/>
      <c r="AW13" s="237" t="n"/>
      <c r="AX13" s="237" t="n"/>
      <c r="AY13" s="237" t="n"/>
      <c r="AZ13" s="237" t="n"/>
      <c r="BA13" s="237" t="n"/>
      <c r="BB13" s="237" t="n"/>
      <c r="BC13" s="237" t="n"/>
      <c r="BD13" s="237" t="n"/>
      <c r="BE13" s="237" t="n"/>
      <c r="BF13" s="237" t="n"/>
      <c r="BG13" s="237" t="n"/>
      <c r="BH13" s="237" t="n"/>
      <c r="BI13" s="237" t="n"/>
      <c r="BJ13" s="237" t="n"/>
      <c r="BK13" s="237" t="n"/>
      <c r="BL13" s="237" t="n"/>
      <c r="BM13" s="237" t="n"/>
    </row>
    <row r="14" ht="14" customFormat="1" customHeight="1" s="238">
      <c r="A14" s="237" t="n">
        <v>5</v>
      </c>
      <c r="B14" s="237" t="inlineStr">
        <is>
          <t>P6066</t>
        </is>
      </c>
      <c r="C14" s="237" t="inlineStr">
        <is>
          <t>WUXGO</t>
        </is>
      </c>
      <c r="E14" s="239" t="inlineStr">
        <is>
          <t>4/24/2026</t>
        </is>
      </c>
      <c r="F14" s="237" t="inlineStr">
        <is>
          <t>LMS Training</t>
        </is>
      </c>
      <c r="G14" s="237" t="inlineStr">
        <is>
          <t>Offering of Greater China Excom Learning Day (Chinese)</t>
        </is>
      </c>
      <c r="H14" s="237" t="inlineStr">
        <is>
          <t>CNY</t>
        </is>
      </c>
      <c r="I14" s="237" t="n">
        <v>2120</v>
      </c>
      <c r="J14" s="237" t="n"/>
      <c r="K14" s="237" t="n">
        <v>73576</v>
      </c>
      <c r="L14" s="237" t="n"/>
      <c r="M14" s="237" t="n"/>
      <c r="N14" s="237" t="n"/>
      <c r="O14" s="237" t="inlineStr">
        <is>
          <t>Offering of Greater China Excom Learning Day (Chinese)</t>
        </is>
      </c>
      <c r="P14" s="237" t="n"/>
      <c r="Q14" s="237" t="n"/>
      <c r="R14" s="237" t="n"/>
      <c r="S14" s="237" t="n"/>
      <c r="T14" s="237" t="n"/>
      <c r="U14" s="237" t="n"/>
      <c r="V14" s="237" t="n"/>
      <c r="W14" s="237" t="n"/>
      <c r="X14" s="237" t="n"/>
      <c r="Y14" s="237" t="n"/>
      <c r="Z14" s="240" t="n">
        <v>19767</v>
      </c>
      <c r="AA14" s="237" t="n"/>
      <c r="AB14" s="242" t="inlineStr">
        <is>
          <t>3/17/2026</t>
        </is>
      </c>
      <c r="AC14" s="237" t="inlineStr">
        <is>
          <t>Mark Lin</t>
        </is>
      </c>
      <c r="AD14" s="237" t="n"/>
      <c r="AE14" s="237" t="n"/>
      <c r="AF14" s="237" t="n"/>
      <c r="AG14" s="237" t="n"/>
      <c r="AH14" s="237" t="n"/>
      <c r="AI14" s="237" t="n"/>
      <c r="AJ14" s="237" t="n"/>
      <c r="AK14" s="237" t="n"/>
      <c r="AL14" s="237" t="n"/>
      <c r="AM14" s="237" t="n"/>
      <c r="AN14" s="237" t="n"/>
      <c r="AO14" s="237" t="n"/>
      <c r="AP14" s="237" t="n"/>
      <c r="AQ14" s="237" t="n"/>
      <c r="AR14" s="237" t="n"/>
      <c r="AS14" s="237" t="n"/>
      <c r="AU14" s="237" t="n"/>
      <c r="AV14" s="237" t="n"/>
      <c r="AW14" s="237" t="n"/>
      <c r="AX14" s="237" t="n"/>
      <c r="AY14" s="237" t="n"/>
      <c r="AZ14" s="237" t="n"/>
      <c r="BA14" s="237" t="n"/>
      <c r="BB14" s="237" t="n"/>
      <c r="BC14" s="237" t="n"/>
      <c r="BD14" s="237" t="n"/>
      <c r="BE14" s="237" t="n"/>
      <c r="BF14" s="237" t="n"/>
      <c r="BG14" s="237" t="n"/>
      <c r="BH14" s="237" t="n"/>
      <c r="BI14" s="237" t="n"/>
      <c r="BJ14" s="237" t="n"/>
      <c r="BK14" s="237" t="n"/>
      <c r="BL14" s="237" t="n"/>
      <c r="BM14" s="237" t="n"/>
    </row>
    <row r="15" ht="14" customFormat="1" customHeight="1" s="238">
      <c r="A15" s="237" t="n">
        <v>6</v>
      </c>
      <c r="B15" s="237" t="inlineStr">
        <is>
          <t>P5016</t>
        </is>
      </c>
      <c r="C15" s="237" t="inlineStr">
        <is>
          <t>SINCP</t>
        </is>
      </c>
      <c r="E15" s="239" t="inlineStr">
        <is>
          <t>4/24/2026</t>
        </is>
      </c>
      <c r="F15" s="237" t="inlineStr">
        <is>
          <t>LMS Training</t>
        </is>
      </c>
      <c r="G15" s="237" t="inlineStr">
        <is>
          <t>Change Management for Supervisors</t>
        </is>
      </c>
      <c r="H15" s="237" t="inlineStr">
        <is>
          <t>USD</t>
        </is>
      </c>
      <c r="I15" s="237" t="n">
        <v>60</v>
      </c>
      <c r="J15" s="237" t="n"/>
      <c r="K15" s="237" t="n">
        <v>70256</v>
      </c>
      <c r="L15" s="237" t="n"/>
      <c r="M15" s="237" t="n"/>
      <c r="N15" s="237" t="n"/>
      <c r="O15" s="237" t="inlineStr">
        <is>
          <t>Change Management for Supervisors</t>
        </is>
      </c>
      <c r="P15" s="237" t="n"/>
      <c r="Q15" s="237" t="n"/>
      <c r="R15" s="237" t="n"/>
      <c r="S15" s="237" t="n"/>
      <c r="T15" s="237" t="n"/>
      <c r="U15" s="237" t="n"/>
      <c r="V15" s="237" t="n"/>
      <c r="W15" s="237" t="n"/>
      <c r="X15" s="237" t="n"/>
      <c r="Y15" s="237" t="n"/>
      <c r="Z15" s="240" t="n">
        <v>19929</v>
      </c>
      <c r="AA15" s="237" t="n"/>
      <c r="AB15" s="242" t="n">
        <v/>
      </c>
      <c r="AC15" s="237" t="inlineStr">
        <is>
          <t>Ivan Tan</t>
        </is>
      </c>
      <c r="AD15" s="237" t="n"/>
      <c r="AE15" s="237" t="n"/>
      <c r="AF15" s="237" t="n"/>
      <c r="AG15" s="237" t="n"/>
      <c r="AH15" s="237" t="n"/>
      <c r="AI15" s="237" t="n"/>
      <c r="AJ15" s="237" t="n"/>
      <c r="AK15" s="237" t="n"/>
      <c r="AL15" s="237" t="n"/>
      <c r="AM15" s="237" t="n"/>
      <c r="AN15" s="237" t="n"/>
      <c r="AO15" s="237" t="n"/>
      <c r="AP15" s="237" t="n"/>
      <c r="AQ15" s="237" t="n"/>
      <c r="AR15" s="237" t="n"/>
      <c r="AS15" s="237" t="n"/>
      <c r="AU15" s="237" t="n"/>
      <c r="AV15" s="237" t="n"/>
      <c r="AW15" s="237" t="n"/>
      <c r="AX15" s="237" t="n"/>
      <c r="AY15" s="237" t="n"/>
      <c r="AZ15" s="237" t="n"/>
      <c r="BA15" s="237" t="n"/>
      <c r="BB15" s="237" t="n"/>
      <c r="BC15" s="237" t="n"/>
      <c r="BD15" s="237" t="n"/>
      <c r="BE15" s="237" t="n"/>
      <c r="BF15" s="237" t="n"/>
      <c r="BG15" s="237" t="n"/>
      <c r="BH15" s="237" t="n"/>
      <c r="BI15" s="237" t="n"/>
      <c r="BJ15" s="237" t="n"/>
      <c r="BK15" s="237" t="n"/>
      <c r="BL15" s="237" t="n"/>
      <c r="BM15" s="237" t="n"/>
    </row>
    <row r="16" ht="14" customFormat="1" customHeight="1" s="238">
      <c r="A16" s="237" t="n">
        <v>7</v>
      </c>
      <c r="B16" s="237" t="inlineStr">
        <is>
          <t>P6066</t>
        </is>
      </c>
      <c r="C16" s="237" t="inlineStr">
        <is>
          <t>SUZHA</t>
        </is>
      </c>
      <c r="E16" s="239" t="inlineStr">
        <is>
          <t>4/24/2026</t>
        </is>
      </c>
      <c r="F16" s="237" t="inlineStr">
        <is>
          <t>LMS Training</t>
        </is>
      </c>
      <c r="G16" s="237" t="inlineStr">
        <is>
          <t>Offering of Group Training Certificate</t>
        </is>
      </c>
      <c r="H16" s="237" t="inlineStr">
        <is>
          <t>CNY</t>
        </is>
      </c>
      <c r="I16" s="237" t="n">
        <v>4240</v>
      </c>
      <c r="J16" s="237" t="n"/>
      <c r="K16" s="237" t="n">
        <v>73576</v>
      </c>
      <c r="L16" s="237" t="n"/>
      <c r="M16" s="237" t="n"/>
      <c r="N16" s="237" t="n"/>
      <c r="O16" s="237" t="inlineStr">
        <is>
          <t>Offering of Group Training Certificate</t>
        </is>
      </c>
      <c r="P16" s="237" t="n"/>
      <c r="Q16" s="237" t="n"/>
      <c r="R16" s="237" t="n"/>
      <c r="S16" s="237" t="n"/>
      <c r="T16" s="237" t="n"/>
      <c r="U16" s="237" t="n"/>
      <c r="V16" s="237" t="n"/>
      <c r="W16" s="237" t="n"/>
      <c r="X16" s="237" t="n"/>
      <c r="Y16" s="237" t="n"/>
      <c r="Z16" s="240" t="n">
        <v>20039</v>
      </c>
      <c r="AA16" s="237" t="n"/>
      <c r="AB16" s="237" t="inlineStr">
        <is>
          <t>3/24/2026</t>
        </is>
      </c>
      <c r="AC16" s="237" t="inlineStr">
        <is>
          <t>Cherry Zeng</t>
        </is>
      </c>
      <c r="AD16" s="237" t="n"/>
      <c r="AE16" s="237" t="n"/>
      <c r="AF16" s="237" t="n"/>
      <c r="AG16" s="237" t="n"/>
      <c r="AH16" s="237" t="n"/>
      <c r="AI16" s="237" t="n"/>
      <c r="AJ16" s="237" t="n"/>
      <c r="AK16" s="237" t="n"/>
      <c r="AL16" s="237" t="n"/>
      <c r="AM16" s="237" t="n"/>
      <c r="AN16" s="237" t="n"/>
      <c r="AO16" s="237" t="n"/>
      <c r="AP16" s="237" t="n"/>
      <c r="AQ16" s="237" t="n"/>
      <c r="AR16" s="237" t="n"/>
      <c r="AS16" s="237" t="n"/>
    </row>
    <row r="17" ht="14" customFormat="1" customHeight="1" s="238">
      <c r="A17" s="237" t="n">
        <v>8</v>
      </c>
      <c r="B17" s="237" t="inlineStr">
        <is>
          <t>P6066</t>
        </is>
      </c>
      <c r="C17" s="237" t="inlineStr">
        <is>
          <t>HGHHB</t>
        </is>
      </c>
      <c r="E17" s="239" t="inlineStr">
        <is>
          <t>4/24/2026</t>
        </is>
      </c>
      <c r="F17" s="237" t="inlineStr">
        <is>
          <t>LMS Training</t>
        </is>
      </c>
      <c r="G17" s="237" t="inlineStr">
        <is>
          <t>Offering of Greater China Excom Learning Day (Chinese)</t>
        </is>
      </c>
      <c r="H17" s="237" t="inlineStr">
        <is>
          <t>CNY</t>
        </is>
      </c>
      <c r="I17" s="237" t="n">
        <v>2120</v>
      </c>
      <c r="J17" s="237" t="n"/>
      <c r="K17" s="237" t="n">
        <v>73576</v>
      </c>
      <c r="L17" s="237" t="n"/>
      <c r="M17" s="237" t="n"/>
      <c r="N17" s="237" t="n"/>
      <c r="O17" s="237" t="inlineStr">
        <is>
          <t>Offering of Greater China Excom Learning Day (Chinese)</t>
        </is>
      </c>
      <c r="P17" s="237" t="n"/>
      <c r="Q17" s="237" t="n"/>
      <c r="R17" s="237" t="n"/>
      <c r="S17" s="237" t="n"/>
      <c r="T17" s="237" t="n"/>
      <c r="U17" s="237" t="n"/>
      <c r="V17" s="237" t="n"/>
      <c r="W17" s="237" t="n"/>
      <c r="X17" s="237" t="n"/>
      <c r="Y17" s="237" t="n"/>
      <c r="Z17" s="240" t="n">
        <v>19778</v>
      </c>
      <c r="AA17" s="237" t="n"/>
      <c r="AB17" s="237" t="inlineStr">
        <is>
          <t>3/17/2026</t>
        </is>
      </c>
      <c r="AC17" s="237" t="inlineStr">
        <is>
          <t>jun cao</t>
        </is>
      </c>
      <c r="AD17" s="237" t="n"/>
      <c r="AE17" s="237" t="n"/>
      <c r="AF17" s="237" t="n"/>
      <c r="AG17" s="237" t="n"/>
      <c r="AH17" s="237" t="n"/>
      <c r="AI17" s="237" t="n"/>
      <c r="AJ17" s="237" t="n"/>
      <c r="AK17" s="237" t="n"/>
      <c r="AL17" s="237" t="n"/>
      <c r="AM17" s="237" t="n"/>
      <c r="AN17" s="237" t="n"/>
      <c r="AO17" s="237" t="n"/>
      <c r="AP17" s="237" t="n"/>
      <c r="AQ17" s="237" t="n"/>
      <c r="AR17" s="237" t="n"/>
      <c r="AS17" s="237" t="n"/>
    </row>
    <row r="18" ht="14" customFormat="1" customHeight="1" s="238">
      <c r="A18" s="237" t="n">
        <v>9</v>
      </c>
      <c r="B18" s="237" t="inlineStr">
        <is>
          <t>P5016</t>
        </is>
      </c>
      <c r="C18" s="237" t="inlineStr">
        <is>
          <t>PNHRA</t>
        </is>
      </c>
      <c r="E18" s="239" t="inlineStr">
        <is>
          <t>4/24/2026</t>
        </is>
      </c>
      <c r="F18" s="237" t="inlineStr">
        <is>
          <t>LMS Training</t>
        </is>
      </c>
      <c r="G18" s="237" t="inlineStr">
        <is>
          <t>Offering of IHG Concerto - Rates &amp; Inventory</t>
        </is>
      </c>
      <c r="H18" s="237" t="inlineStr">
        <is>
          <t>USD</t>
        </is>
      </c>
      <c r="I18" s="237" t="n">
        <v>100</v>
      </c>
      <c r="J18" s="237" t="n"/>
      <c r="K18" s="237" t="n">
        <v>76615</v>
      </c>
      <c r="L18" s="237" t="n"/>
      <c r="M18" s="237" t="n"/>
      <c r="N18" s="237" t="n"/>
      <c r="O18" s="237" t="inlineStr">
        <is>
          <t>Offering of IHG Concerto - Rates &amp; Inventory</t>
        </is>
      </c>
      <c r="P18" s="237" t="n"/>
      <c r="Q18" s="237" t="n"/>
      <c r="R18" s="237" t="n"/>
      <c r="S18" s="237" t="n"/>
      <c r="T18" s="237" t="n"/>
      <c r="U18" s="237" t="n"/>
      <c r="V18" s="237" t="n"/>
      <c r="W18" s="237" t="n"/>
      <c r="X18" s="237" t="n"/>
      <c r="Y18" s="237" t="n"/>
      <c r="Z18" s="240" t="n">
        <v>154119602</v>
      </c>
      <c r="AA18" s="237" t="n"/>
      <c r="AB18" s="237" t="inlineStr">
        <is>
          <t>4/7/2026</t>
        </is>
      </c>
      <c r="AC18" s="237" t="inlineStr">
        <is>
          <t>Dalika Chea</t>
        </is>
      </c>
      <c r="AD18" s="237" t="n"/>
      <c r="AE18" s="237" t="n"/>
      <c r="AF18" s="237" t="n"/>
      <c r="AG18" s="237" t="n"/>
      <c r="AH18" s="237" t="n"/>
      <c r="AI18" s="237" t="n"/>
      <c r="AJ18" s="237" t="n"/>
      <c r="AK18" s="237" t="n"/>
      <c r="AL18" s="237" t="n"/>
      <c r="AM18" s="237" t="n"/>
      <c r="AN18" s="237" t="n"/>
      <c r="AO18" s="237" t="n"/>
      <c r="AP18" s="237" t="n"/>
      <c r="AQ18" s="237" t="n"/>
      <c r="AR18" s="237" t="n"/>
      <c r="AS18" s="237" t="n"/>
    </row>
    <row r="19" ht="14" customFormat="1" customHeight="1" s="238">
      <c r="A19" s="237" t="n">
        <v>10</v>
      </c>
      <c r="B19" s="237" t="inlineStr">
        <is>
          <t>P5016</t>
        </is>
      </c>
      <c r="C19" s="237" t="inlineStr">
        <is>
          <t>DRWDS</t>
        </is>
      </c>
      <c r="E19" s="239" t="inlineStr">
        <is>
          <t>4/24/2026</t>
        </is>
      </c>
      <c r="F19" s="237" t="inlineStr">
        <is>
          <t>LMS Training</t>
        </is>
      </c>
      <c r="G19" s="237" t="inlineStr">
        <is>
          <t>Offering of IHG Concerto - Rates &amp; Inventory</t>
        </is>
      </c>
      <c r="H19" s="237" t="inlineStr">
        <is>
          <t>USD</t>
        </is>
      </c>
      <c r="I19" s="237" t="n">
        <v>100</v>
      </c>
      <c r="J19" s="237" t="n"/>
      <c r="K19" s="237" t="n">
        <v>76615</v>
      </c>
      <c r="L19" s="237" t="n"/>
      <c r="M19" s="237" t="n"/>
      <c r="N19" s="237" t="n"/>
      <c r="O19" s="237" t="inlineStr">
        <is>
          <t>Offering of IHG Concerto - Rates &amp; Inventory</t>
        </is>
      </c>
      <c r="P19" s="237" t="n"/>
      <c r="Q19" s="237" t="n"/>
      <c r="R19" s="237" t="n"/>
      <c r="S19" s="237" t="n"/>
      <c r="T19" s="237" t="n"/>
      <c r="U19" s="237" t="n"/>
      <c r="V19" s="237" t="n"/>
      <c r="W19" s="237" t="n"/>
      <c r="X19" s="237" t="n"/>
      <c r="Y19" s="237" t="n"/>
      <c r="Z19" s="240" t="n">
        <v>154850193</v>
      </c>
      <c r="AA19" s="237" t="n"/>
      <c r="AB19" s="237" t="inlineStr">
        <is>
          <t>4/7/2026</t>
        </is>
      </c>
      <c r="AC19" s="237" t="inlineStr">
        <is>
          <t>Shannon Loughman</t>
        </is>
      </c>
      <c r="AD19" s="237" t="n"/>
      <c r="AE19" s="237" t="n"/>
      <c r="AF19" s="237" t="n"/>
      <c r="AG19" s="237" t="n"/>
      <c r="AH19" s="237" t="n"/>
      <c r="AI19" s="237" t="n"/>
      <c r="AJ19" s="237" t="n"/>
      <c r="AK19" s="237" t="n"/>
      <c r="AL19" s="237" t="n"/>
      <c r="AM19" s="237" t="n"/>
      <c r="AN19" s="237" t="n"/>
      <c r="AO19" s="237" t="n"/>
      <c r="AP19" s="237" t="n"/>
      <c r="AQ19" s="237" t="n"/>
      <c r="AR19" s="237" t="n"/>
      <c r="AS19" s="237" t="n"/>
    </row>
    <row r="20" ht="14" customFormat="1" customHeight="1" s="238">
      <c r="A20" s="237" t="n">
        <v>11</v>
      </c>
      <c r="B20" s="237" t="inlineStr">
        <is>
          <t>P6066</t>
        </is>
      </c>
      <c r="C20" s="237" t="inlineStr">
        <is>
          <t>NGBHA</t>
        </is>
      </c>
      <c r="E20" s="239" t="inlineStr">
        <is>
          <t>4/24/2026</t>
        </is>
      </c>
      <c r="F20" s="237" t="inlineStr">
        <is>
          <t>LMS Training</t>
        </is>
      </c>
      <c r="G20" s="237" t="inlineStr">
        <is>
          <t>Offering of Training Needs Diagnosis (Lead Business-Driven Training) (Chinese)</t>
        </is>
      </c>
      <c r="H20" s="237" t="inlineStr">
        <is>
          <t>CNY</t>
        </is>
      </c>
      <c r="I20" s="237" t="n">
        <v>2120</v>
      </c>
      <c r="J20" s="237" t="n"/>
      <c r="K20" s="237" t="n">
        <v>73576</v>
      </c>
      <c r="L20" s="237" t="n"/>
      <c r="M20" s="237" t="n"/>
      <c r="N20" s="237" t="n"/>
      <c r="O20" s="237" t="inlineStr">
        <is>
          <t>Offering of Training Needs Diagnosis (Lead Business-Driven Training) (Chinese)</t>
        </is>
      </c>
      <c r="P20" s="237" t="n"/>
      <c r="Q20" s="237" t="n"/>
      <c r="R20" s="237" t="n"/>
      <c r="S20" s="237" t="n"/>
      <c r="T20" s="237" t="n"/>
      <c r="U20" s="237" t="n"/>
      <c r="V20" s="237" t="n"/>
      <c r="W20" s="237" t="n"/>
      <c r="X20" s="237" t="n"/>
      <c r="Y20" s="237" t="n"/>
      <c r="Z20" s="240" t="n">
        <v>20052</v>
      </c>
      <c r="AA20" s="237" t="n"/>
      <c r="AB20" s="237" t="inlineStr">
        <is>
          <t>3/26/2026</t>
        </is>
      </c>
      <c r="AC20" s="237" t="inlineStr">
        <is>
          <t>Reiko Han</t>
        </is>
      </c>
      <c r="AD20" s="237" t="n"/>
      <c r="AE20" s="237" t="n"/>
      <c r="AF20" s="237" t="n"/>
      <c r="AG20" s="237" t="n"/>
      <c r="AH20" s="237" t="n"/>
      <c r="AI20" s="237" t="n"/>
      <c r="AJ20" s="237" t="n"/>
      <c r="AK20" s="237" t="n"/>
      <c r="AL20" s="237" t="n"/>
      <c r="AM20" s="237" t="n"/>
      <c r="AN20" s="237" t="n"/>
      <c r="AO20" s="237" t="n"/>
      <c r="AP20" s="237" t="n"/>
      <c r="AQ20" s="237" t="n"/>
      <c r="AR20" s="237" t="n"/>
      <c r="AS20" s="237" t="n"/>
    </row>
    <row r="21" ht="14" customFormat="1" customHeight="1" s="238">
      <c r="A21" s="237" t="n">
        <v>12</v>
      </c>
      <c r="B21" s="237" t="inlineStr">
        <is>
          <t>P6066</t>
        </is>
      </c>
      <c r="C21" s="237" t="inlineStr">
        <is>
          <t>YNTGC</t>
        </is>
      </c>
      <c r="E21" s="239" t="inlineStr">
        <is>
          <t>4/24/2026</t>
        </is>
      </c>
      <c r="F21" s="237" t="inlineStr">
        <is>
          <t>LMS Training</t>
        </is>
      </c>
      <c r="G21" s="237" t="inlineStr">
        <is>
          <t>Offering of Training Needs Diagnosis (Lead Business-Driven Training) (Chinese)</t>
        </is>
      </c>
      <c r="H21" s="237" t="inlineStr">
        <is>
          <t>CNY</t>
        </is>
      </c>
      <c r="I21" s="237" t="n">
        <v>2120</v>
      </c>
      <c r="J21" s="237" t="n"/>
      <c r="K21" s="237" t="n">
        <v>73576</v>
      </c>
      <c r="L21" s="237" t="n"/>
      <c r="M21" s="237" t="n"/>
      <c r="N21" s="237" t="n"/>
      <c r="O21" s="237" t="inlineStr">
        <is>
          <t>Offering of Training Needs Diagnosis (Lead Business-Driven Training) (Chinese)</t>
        </is>
      </c>
      <c r="P21" s="237" t="n"/>
      <c r="Q21" s="237" t="n"/>
      <c r="R21" s="237" t="n"/>
      <c r="S21" s="237" t="n"/>
      <c r="T21" s="237" t="n"/>
      <c r="U21" s="237" t="n"/>
      <c r="V21" s="237" t="n"/>
      <c r="W21" s="237" t="n"/>
      <c r="X21" s="237" t="n"/>
      <c r="Y21" s="237" t="n"/>
      <c r="Z21" s="240" t="n">
        <v>20058</v>
      </c>
      <c r="AA21" s="237" t="n"/>
      <c r="AB21" s="237" t="inlineStr">
        <is>
          <t>3/26/2026</t>
        </is>
      </c>
      <c r="AC21" s="237" t="inlineStr">
        <is>
          <t>Crystal Zhang</t>
        </is>
      </c>
      <c r="AD21" s="237" t="n"/>
      <c r="AE21" s="237" t="n"/>
      <c r="AF21" s="237" t="n"/>
      <c r="AG21" s="237" t="n"/>
      <c r="AH21" s="237" t="n"/>
      <c r="AI21" s="237" t="n"/>
      <c r="AJ21" s="237" t="n"/>
      <c r="AK21" s="237" t="n"/>
      <c r="AL21" s="237" t="n"/>
      <c r="AM21" s="237" t="n"/>
      <c r="AN21" s="237" t="n"/>
      <c r="AO21" s="237" t="n"/>
      <c r="AP21" s="237" t="n"/>
      <c r="AQ21" s="237" t="n"/>
      <c r="AR21" s="237" t="n"/>
      <c r="AS21" s="237" t="n"/>
    </row>
    <row r="22" ht="14" customFormat="1" customHeight="1" s="238">
      <c r="A22" s="237" t="n">
        <v>13</v>
      </c>
      <c r="B22" s="237" t="inlineStr">
        <is>
          <t>P5016</t>
        </is>
      </c>
      <c r="C22" s="237" t="inlineStr">
        <is>
          <t>NHACH</t>
        </is>
      </c>
      <c r="E22" s="239" t="inlineStr">
        <is>
          <t>4/24/2026</t>
        </is>
      </c>
      <c r="F22" s="237" t="inlineStr">
        <is>
          <t>LMS Training</t>
        </is>
      </c>
      <c r="G22" s="237" t="inlineStr">
        <is>
          <t>Offering of IHG Way of Sales - Effective Sales Negotiations</t>
        </is>
      </c>
      <c r="H22" s="237" t="inlineStr">
        <is>
          <t>USD</t>
        </is>
      </c>
      <c r="I22" s="237" t="n">
        <v>375</v>
      </c>
      <c r="J22" s="237" t="n"/>
      <c r="K22" s="237" t="n">
        <v>76615</v>
      </c>
      <c r="L22" s="237" t="n"/>
      <c r="M22" s="237" t="n"/>
      <c r="N22" s="237" t="n"/>
      <c r="O22" s="237" t="inlineStr">
        <is>
          <t>Offering of IHG Way of Sales - Effective Sales Negotiations</t>
        </is>
      </c>
      <c r="P22" s="237" t="n"/>
      <c r="Q22" s="237" t="n"/>
      <c r="R22" s="237" t="n"/>
      <c r="S22" s="237" t="n"/>
      <c r="T22" s="237" t="n"/>
      <c r="U22" s="237" t="n"/>
      <c r="V22" s="237" t="n"/>
      <c r="W22" s="237" t="n"/>
      <c r="X22" s="237" t="n"/>
      <c r="Y22" s="237" t="n"/>
      <c r="Z22" s="240" t="n">
        <v>19351</v>
      </c>
      <c r="AA22" s="237" t="n"/>
      <c r="AB22" s="237" t="inlineStr">
        <is>
          <t>3/16/2026</t>
        </is>
      </c>
      <c r="AC22" s="237" t="inlineStr">
        <is>
          <t>Hanh Nguyen Minh</t>
        </is>
      </c>
      <c r="AD22" s="237" t="n"/>
      <c r="AE22" s="237" t="n"/>
      <c r="AF22" s="237" t="n"/>
      <c r="AG22" s="237" t="n"/>
      <c r="AH22" s="237" t="n"/>
      <c r="AI22" s="237" t="n"/>
      <c r="AJ22" s="237" t="n"/>
      <c r="AK22" s="237" t="n"/>
      <c r="AL22" s="237" t="n"/>
      <c r="AM22" s="237" t="n"/>
      <c r="AN22" s="237" t="n"/>
      <c r="AO22" s="237" t="n"/>
      <c r="AP22" s="237" t="n"/>
      <c r="AQ22" s="237" t="n"/>
      <c r="AR22" s="237" t="n"/>
      <c r="AS22" s="237" t="n"/>
    </row>
    <row r="23" ht="14" customFormat="1" customHeight="1" s="238">
      <c r="A23" s="237" t="n">
        <v>14</v>
      </c>
      <c r="B23" s="237" t="inlineStr">
        <is>
          <t>P6022</t>
        </is>
      </c>
      <c r="C23" s="237" t="inlineStr">
        <is>
          <t>DPSCR</t>
        </is>
      </c>
      <c r="E23" s="239" t="inlineStr">
        <is>
          <t>4/24/2026</t>
        </is>
      </c>
      <c r="F23" s="237" t="inlineStr">
        <is>
          <t>LMS Training</t>
        </is>
      </c>
      <c r="G23" s="237" t="inlineStr">
        <is>
          <t>Offering of Departmental Trainer Programme (Indonesian)</t>
        </is>
      </c>
      <c r="H23" s="237" t="inlineStr">
        <is>
          <t>USD</t>
        </is>
      </c>
      <c r="I23" s="237" t="n">
        <v>50</v>
      </c>
      <c r="J23" s="237" t="n"/>
      <c r="K23" s="237" t="n">
        <v>73168</v>
      </c>
      <c r="L23" s="237" t="n"/>
      <c r="M23" s="237" t="n"/>
      <c r="N23" s="237" t="n"/>
      <c r="O23" s="237" t="inlineStr">
        <is>
          <t>Offering of Departmental Trainer Programme (Indonesian)</t>
        </is>
      </c>
      <c r="P23" s="237" t="n"/>
      <c r="Q23" s="237" t="n"/>
      <c r="R23" s="237" t="n"/>
      <c r="S23" s="237" t="n"/>
      <c r="T23" s="237" t="n"/>
      <c r="U23" s="237" t="n"/>
      <c r="V23" s="237" t="n"/>
      <c r="W23" s="237" t="n"/>
      <c r="X23" s="237" t="n"/>
      <c r="Y23" s="237" t="n"/>
      <c r="Z23" s="240" t="n">
        <v>132955426</v>
      </c>
      <c r="AA23" s="237" t="n"/>
      <c r="AB23" s="237" t="inlineStr">
        <is>
          <t>7/16/2025</t>
        </is>
      </c>
      <c r="AC23" s="237" t="inlineStr">
        <is>
          <t>Putu Arista</t>
        </is>
      </c>
      <c r="AD23" s="237" t="n"/>
      <c r="AE23" s="237" t="n"/>
      <c r="AF23" s="237" t="n"/>
      <c r="AG23" s="237" t="n"/>
      <c r="AH23" s="237" t="n"/>
      <c r="AI23" s="237" t="n"/>
      <c r="AJ23" s="237" t="n"/>
      <c r="AK23" s="237" t="n"/>
      <c r="AL23" s="237" t="n"/>
      <c r="AM23" s="237" t="n"/>
      <c r="AN23" s="237" t="n"/>
      <c r="AO23" s="237" t="n"/>
      <c r="AP23" s="237" t="n"/>
      <c r="AQ23" s="237" t="n"/>
      <c r="AR23" s="237" t="n"/>
      <c r="AS23" s="237" t="n"/>
    </row>
    <row r="24" ht="14" customFormat="1" customHeight="1" s="238">
      <c r="A24" s="237" t="n">
        <v>15</v>
      </c>
      <c r="B24" s="237" t="inlineStr">
        <is>
          <t>P6022</t>
        </is>
      </c>
      <c r="C24" s="237" t="inlineStr">
        <is>
          <t>MNLGS</t>
        </is>
      </c>
      <c r="E24" s="239" t="inlineStr">
        <is>
          <t>4/24/2026</t>
        </is>
      </c>
      <c r="F24" s="237" t="inlineStr">
        <is>
          <t>LMS Training</t>
        </is>
      </c>
      <c r="G24" s="237" t="inlineStr">
        <is>
          <t>Offering of Promises Kept - A Framework for Service Recovery</t>
        </is>
      </c>
      <c r="H24" s="237" t="inlineStr">
        <is>
          <t>USD</t>
        </is>
      </c>
      <c r="I24" s="237" t="n">
        <v>100</v>
      </c>
      <c r="J24" s="237" t="n"/>
      <c r="K24" s="237" t="n">
        <v>73168</v>
      </c>
      <c r="L24" s="237" t="n"/>
      <c r="M24" s="237" t="n"/>
      <c r="N24" s="237" t="n"/>
      <c r="O24" s="237" t="inlineStr">
        <is>
          <t>Offering of Promises Kept - A Framework for Service Recovery</t>
        </is>
      </c>
      <c r="P24" s="237" t="n"/>
      <c r="Q24" s="237" t="n"/>
      <c r="R24" s="237" t="n"/>
      <c r="S24" s="237" t="n"/>
      <c r="T24" s="237" t="n"/>
      <c r="U24" s="237" t="n"/>
      <c r="V24" s="237" t="n"/>
      <c r="W24" s="237" t="n"/>
      <c r="X24" s="237" t="n"/>
      <c r="Y24" s="237" t="n"/>
      <c r="Z24" s="240" t="n">
        <v>153219707</v>
      </c>
      <c r="AA24" s="237" t="n"/>
      <c r="AB24" s="237" t="inlineStr">
        <is>
          <t>3/24/2026</t>
        </is>
      </c>
      <c r="AC24" s="237" t="inlineStr">
        <is>
          <t>Jhuffry Guran</t>
        </is>
      </c>
      <c r="AD24" s="237" t="n"/>
      <c r="AE24" s="237" t="n"/>
      <c r="AF24" s="237" t="n"/>
      <c r="AG24" s="237" t="n"/>
      <c r="AH24" s="237" t="n"/>
      <c r="AI24" s="237" t="n"/>
      <c r="AJ24" s="237" t="n"/>
      <c r="AK24" s="237" t="n"/>
      <c r="AL24" s="237" t="n"/>
      <c r="AM24" s="237" t="n"/>
      <c r="AN24" s="237" t="n"/>
      <c r="AO24" s="237" t="n"/>
      <c r="AP24" s="237" t="n"/>
      <c r="AQ24" s="237" t="n"/>
      <c r="AR24" s="237" t="n"/>
      <c r="AS24" s="237" t="n"/>
    </row>
    <row r="25" ht="14" customFormat="1" customHeight="1" s="238">
      <c r="A25" s="237" t="n">
        <v>16</v>
      </c>
      <c r="B25" s="237" t="inlineStr">
        <is>
          <t>P6066</t>
        </is>
      </c>
      <c r="C25" s="237" t="inlineStr">
        <is>
          <t>HGHHB</t>
        </is>
      </c>
      <c r="E25" s="239" t="inlineStr">
        <is>
          <t>4/24/2026</t>
        </is>
      </c>
      <c r="F25" s="237" t="inlineStr">
        <is>
          <t>LMS Training</t>
        </is>
      </c>
      <c r="G25" s="237" t="inlineStr">
        <is>
          <t>Offering of Greater China Excom Learning Day (Chinese)</t>
        </is>
      </c>
      <c r="H25" s="237" t="inlineStr">
        <is>
          <t>CNY</t>
        </is>
      </c>
      <c r="I25" s="237" t="n">
        <v>2120</v>
      </c>
      <c r="J25" s="237" t="n"/>
      <c r="K25" s="237" t="n">
        <v>73576</v>
      </c>
      <c r="L25" s="237" t="n"/>
      <c r="M25" s="237" t="n"/>
      <c r="N25" s="237" t="n"/>
      <c r="O25" s="237" t="inlineStr">
        <is>
          <t>Offering of Greater China Excom Learning Day (Chinese)</t>
        </is>
      </c>
      <c r="P25" s="237" t="n"/>
      <c r="Q25" s="237" t="n"/>
      <c r="R25" s="237" t="n"/>
      <c r="S25" s="237" t="n"/>
      <c r="T25" s="237" t="n"/>
      <c r="U25" s="237" t="n"/>
      <c r="V25" s="237" t="n"/>
      <c r="W25" s="237" t="n"/>
      <c r="X25" s="237" t="n"/>
      <c r="Y25" s="237" t="n"/>
      <c r="Z25" s="240" t="n">
        <v>19768</v>
      </c>
      <c r="AA25" s="237" t="n"/>
      <c r="AB25" s="242" t="inlineStr">
        <is>
          <t>3/17/2026</t>
        </is>
      </c>
      <c r="AC25" s="237" t="inlineStr">
        <is>
          <t>Vincent Liu</t>
        </is>
      </c>
      <c r="AD25" s="237" t="n"/>
      <c r="AE25" s="237" t="n"/>
      <c r="AF25" s="237" t="n"/>
      <c r="AG25" s="237" t="n"/>
      <c r="AH25" s="237" t="n"/>
      <c r="AI25" s="237" t="n"/>
      <c r="AJ25" s="237" t="n"/>
      <c r="AK25" s="237" t="n"/>
      <c r="AL25" s="237" t="n"/>
      <c r="AM25" s="237" t="n"/>
      <c r="AN25" s="237" t="n"/>
      <c r="AO25" s="237" t="n"/>
      <c r="AP25" s="237" t="n"/>
      <c r="AQ25" s="237" t="n"/>
      <c r="AR25" s="237" t="n"/>
      <c r="AS25" s="237" t="n"/>
    </row>
    <row r="26" ht="14" customFormat="1" customHeight="1" s="238">
      <c r="A26" s="237" t="n">
        <v>17</v>
      </c>
      <c r="B26" s="237" t="inlineStr">
        <is>
          <t>P5016</t>
        </is>
      </c>
      <c r="C26" s="237" t="inlineStr">
        <is>
          <t>CIKRG</t>
        </is>
      </c>
      <c r="E26" s="239" t="inlineStr">
        <is>
          <t>4/24/2026</t>
        </is>
      </c>
      <c r="F26" s="237" t="inlineStr">
        <is>
          <t>LMS Training</t>
        </is>
      </c>
      <c r="G26" s="237" t="inlineStr">
        <is>
          <t>Change Management for Managers</t>
        </is>
      </c>
      <c r="H26" s="237" t="inlineStr">
        <is>
          <t>USD</t>
        </is>
      </c>
      <c r="I26" s="237" t="n">
        <v>30</v>
      </c>
      <c r="J26" s="237" t="n"/>
      <c r="K26" s="237" t="n">
        <v>70256</v>
      </c>
      <c r="L26" s="237" t="n"/>
      <c r="M26" s="237" t="n"/>
      <c r="N26" s="237" t="n"/>
      <c r="O26" s="237" t="inlineStr">
        <is>
          <t>Change Management for Managers</t>
        </is>
      </c>
      <c r="P26" s="237" t="n"/>
      <c r="Q26" s="237" t="n"/>
      <c r="R26" s="237" t="n"/>
      <c r="S26" s="237" t="n"/>
      <c r="T26" s="237" t="n"/>
      <c r="U26" s="237" t="n"/>
      <c r="V26" s="237" t="n"/>
      <c r="W26" s="237" t="n"/>
      <c r="X26" s="237" t="n"/>
      <c r="Y26" s="237" t="n"/>
      <c r="Z26" s="240" t="n">
        <v>156456646</v>
      </c>
      <c r="AA26" s="237" t="n"/>
      <c r="AB26" s="237" t="n">
        <v/>
      </c>
      <c r="AC26" s="237" t="inlineStr">
        <is>
          <t>Rochman Mustakhim</t>
        </is>
      </c>
      <c r="AD26" s="237" t="n"/>
      <c r="AE26" s="237" t="n"/>
      <c r="AF26" s="237" t="n"/>
      <c r="AG26" s="237" t="n"/>
      <c r="AH26" s="237" t="n"/>
      <c r="AI26" s="237" t="n"/>
      <c r="AJ26" s="237" t="n"/>
      <c r="AK26" s="237" t="n"/>
      <c r="AL26" s="237" t="n"/>
      <c r="AM26" s="237" t="n"/>
      <c r="AN26" s="237" t="n"/>
      <c r="AO26" s="237" t="n"/>
      <c r="AP26" s="237" t="n"/>
      <c r="AQ26" s="237" t="n"/>
      <c r="AR26" s="237" t="n"/>
      <c r="AS26" s="237" t="n"/>
    </row>
    <row r="27" ht="14" customFormat="1" customHeight="1" s="238">
      <c r="A27" s="237" t="n">
        <v>18</v>
      </c>
      <c r="B27" s="237" t="inlineStr">
        <is>
          <t>P6066</t>
        </is>
      </c>
      <c r="C27" s="237" t="inlineStr">
        <is>
          <t>WUXTA</t>
        </is>
      </c>
      <c r="E27" s="239" t="inlineStr">
        <is>
          <t>4/24/2026</t>
        </is>
      </c>
      <c r="F27" s="237" t="inlineStr">
        <is>
          <t>LMS Training</t>
        </is>
      </c>
      <c r="G27" s="237" t="inlineStr">
        <is>
          <t>Offering of Greater China Excom Learning Day (Chinese)</t>
        </is>
      </c>
      <c r="H27" s="237" t="inlineStr">
        <is>
          <t>CNY</t>
        </is>
      </c>
      <c r="I27" s="237" t="n">
        <v>2120</v>
      </c>
      <c r="J27" s="237" t="n"/>
      <c r="K27" s="237" t="n">
        <v>73576</v>
      </c>
      <c r="L27" s="237" t="n"/>
      <c r="M27" s="237" t="n"/>
      <c r="N27" s="237" t="n"/>
      <c r="O27" s="237" t="inlineStr">
        <is>
          <t>Offering of Greater China Excom Learning Day (Chinese)</t>
        </is>
      </c>
      <c r="P27" s="237" t="n"/>
      <c r="Q27" s="237" t="n"/>
      <c r="R27" s="237" t="n"/>
      <c r="S27" s="237" t="n"/>
      <c r="T27" s="237" t="n"/>
      <c r="U27" s="237" t="n"/>
      <c r="V27" s="237" t="n"/>
      <c r="W27" s="237" t="n"/>
      <c r="X27" s="237" t="n"/>
      <c r="Y27" s="237" t="n"/>
      <c r="Z27" s="240" t="n">
        <v>19770</v>
      </c>
      <c r="AA27" s="237" t="n"/>
      <c r="AB27" s="237" t="inlineStr">
        <is>
          <t>3/17/2026</t>
        </is>
      </c>
      <c r="AC27" s="237" t="inlineStr">
        <is>
          <t>Jason Chen</t>
        </is>
      </c>
      <c r="AD27" s="237" t="n"/>
      <c r="AE27" s="237" t="n"/>
      <c r="AF27" s="237" t="n"/>
      <c r="AG27" s="237" t="n"/>
      <c r="AH27" s="237" t="n"/>
      <c r="AI27" s="237" t="n"/>
      <c r="AJ27" s="237" t="n"/>
      <c r="AK27" s="237" t="n"/>
      <c r="AL27" s="237" t="n"/>
      <c r="AM27" s="237" t="n"/>
      <c r="AN27" s="237" t="n"/>
      <c r="AO27" s="237" t="n"/>
      <c r="AP27" s="237" t="n"/>
      <c r="AQ27" s="237" t="n"/>
      <c r="AR27" s="237" t="n"/>
      <c r="AS27" s="237" t="n"/>
    </row>
    <row r="28" ht="14" customFormat="1" customHeight="1" s="238">
      <c r="A28" s="237" t="n">
        <v>19</v>
      </c>
      <c r="B28" s="237" t="inlineStr">
        <is>
          <t>P6066</t>
        </is>
      </c>
      <c r="C28" s="237" t="inlineStr">
        <is>
          <t>NTGQD</t>
        </is>
      </c>
      <c r="E28" s="239" t="inlineStr">
        <is>
          <t>4/24/2026</t>
        </is>
      </c>
      <c r="F28" s="237" t="inlineStr">
        <is>
          <t>LMS Training</t>
        </is>
      </c>
      <c r="G28" s="237" t="inlineStr">
        <is>
          <t>Offering of Craft Training Certificate (Chinese)</t>
        </is>
      </c>
      <c r="H28" s="237" t="inlineStr">
        <is>
          <t>CNY</t>
        </is>
      </c>
      <c r="I28" s="237" t="n">
        <v>4240</v>
      </c>
      <c r="J28" s="237" t="n"/>
      <c r="K28" s="237" t="n">
        <v>73576</v>
      </c>
      <c r="L28" s="237" t="n"/>
      <c r="M28" s="237" t="n"/>
      <c r="N28" s="237" t="n"/>
      <c r="O28" s="237" t="inlineStr">
        <is>
          <t>Offering of Craft Training Certificate (Chinese)</t>
        </is>
      </c>
      <c r="P28" s="237" t="n"/>
      <c r="Q28" s="237" t="n"/>
      <c r="R28" s="237" t="n"/>
      <c r="S28" s="237" t="n"/>
      <c r="T28" s="237" t="n"/>
      <c r="U28" s="237" t="n"/>
      <c r="V28" s="237" t="n"/>
      <c r="W28" s="237" t="n"/>
      <c r="X28" s="237" t="n"/>
      <c r="Y28" s="237" t="n"/>
      <c r="Z28" s="240" t="n">
        <v>20035</v>
      </c>
      <c r="AA28" s="237" t="n"/>
      <c r="AB28" s="237" t="inlineStr">
        <is>
          <t>3/22/2026</t>
        </is>
      </c>
      <c r="AC28" s="237" t="inlineStr">
        <is>
          <t>jinhua gu</t>
        </is>
      </c>
      <c r="AD28" s="237" t="n"/>
      <c r="AE28" s="237" t="n"/>
      <c r="AF28" s="237" t="n"/>
      <c r="AG28" s="237" t="n"/>
      <c r="AH28" s="237" t="n"/>
      <c r="AI28" s="237" t="n"/>
      <c r="AJ28" s="237" t="n"/>
      <c r="AK28" s="237" t="n"/>
      <c r="AL28" s="237" t="n"/>
      <c r="AM28" s="237" t="n"/>
      <c r="AN28" s="237" t="n"/>
      <c r="AO28" s="237" t="n"/>
      <c r="AP28" s="237" t="n"/>
      <c r="AQ28" s="237" t="n"/>
      <c r="AR28" s="237" t="n"/>
      <c r="AS28" s="237" t="n"/>
    </row>
    <row r="29" ht="14" customFormat="1" customHeight="1" s="238">
      <c r="A29" s="237" t="n">
        <v>20</v>
      </c>
      <c r="B29" s="237" t="inlineStr">
        <is>
          <t>P5016</t>
        </is>
      </c>
      <c r="C29" s="237" t="inlineStr">
        <is>
          <t>SINHI</t>
        </is>
      </c>
      <c r="E29" s="239" t="inlineStr">
        <is>
          <t>4/24/2026</t>
        </is>
      </c>
      <c r="F29" s="237" t="inlineStr">
        <is>
          <t>LMS Training</t>
        </is>
      </c>
      <c r="G29" s="237" t="inlineStr">
        <is>
          <t>Change Management for Supervisors</t>
        </is>
      </c>
      <c r="H29" s="237" t="inlineStr">
        <is>
          <t>USD</t>
        </is>
      </c>
      <c r="I29" s="237" t="n">
        <v>60</v>
      </c>
      <c r="J29" s="237" t="n"/>
      <c r="K29" s="237" t="n">
        <v>70256</v>
      </c>
      <c r="L29" s="237" t="n"/>
      <c r="M29" s="237" t="n"/>
      <c r="N29" s="237" t="n"/>
      <c r="O29" s="237" t="inlineStr">
        <is>
          <t>Change Management for Supervisors</t>
        </is>
      </c>
      <c r="P29" s="237" t="n"/>
      <c r="Q29" s="237" t="n"/>
      <c r="R29" s="237" t="n"/>
      <c r="S29" s="237" t="n"/>
      <c r="T29" s="237" t="n"/>
      <c r="U29" s="237" t="n"/>
      <c r="V29" s="237" t="n"/>
      <c r="W29" s="237" t="n"/>
      <c r="X29" s="237" t="n"/>
      <c r="Y29" s="237" t="n"/>
      <c r="Z29" s="240" t="n">
        <v>19662</v>
      </c>
      <c r="AA29" s="237" t="n"/>
      <c r="AB29" s="237" t="n">
        <v/>
      </c>
      <c r="AC29" s="237" t="inlineStr">
        <is>
          <t>Mohamad Shafiq Soheran</t>
        </is>
      </c>
      <c r="AD29" s="237" t="n"/>
      <c r="AE29" s="237" t="n"/>
      <c r="AF29" s="237" t="n"/>
      <c r="AG29" s="237" t="n"/>
      <c r="AH29" s="237" t="n"/>
      <c r="AI29" s="237" t="n"/>
      <c r="AJ29" s="237" t="n"/>
      <c r="AK29" s="237" t="n"/>
      <c r="AL29" s="237" t="n"/>
      <c r="AM29" s="237" t="n"/>
      <c r="AN29" s="237" t="n"/>
      <c r="AO29" s="237" t="n"/>
      <c r="AP29" s="237" t="n"/>
      <c r="AQ29" s="237" t="n"/>
      <c r="AR29" s="237" t="n"/>
      <c r="AS29" s="237" t="n"/>
    </row>
    <row r="30" ht="14" customFormat="1" customHeight="1" s="238">
      <c r="A30" s="237" t="n">
        <v>21</v>
      </c>
      <c r="B30" s="237" t="inlineStr">
        <is>
          <t>P5016</t>
        </is>
      </c>
      <c r="C30" s="237" t="inlineStr">
        <is>
          <t>PHUPP</t>
        </is>
      </c>
      <c r="E30" s="239" t="inlineStr">
        <is>
          <t>4/24/2026</t>
        </is>
      </c>
      <c r="F30" s="237" t="inlineStr">
        <is>
          <t>LMS Training</t>
        </is>
      </c>
      <c r="G30" s="237" t="inlineStr">
        <is>
          <t>Offering of IHG Way of Sales - Effective Sales Negotiations</t>
        </is>
      </c>
      <c r="H30" s="237" t="inlineStr">
        <is>
          <t>USD</t>
        </is>
      </c>
      <c r="I30" s="237" t="n">
        <v>375</v>
      </c>
      <c r="J30" s="237" t="n"/>
      <c r="K30" s="238" t="n">
        <v>76615</v>
      </c>
      <c r="L30" s="237" t="n"/>
      <c r="M30" s="237" t="n"/>
      <c r="N30" s="237" t="n"/>
      <c r="O30" s="237" t="inlineStr">
        <is>
          <t>Offering of IHG Way of Sales - Effective Sales Negotiations</t>
        </is>
      </c>
      <c r="P30" s="237" t="n"/>
      <c r="Q30" s="237" t="n"/>
      <c r="R30" s="237" t="n"/>
      <c r="S30" s="237" t="n"/>
      <c r="T30" s="237" t="n"/>
      <c r="U30" s="241" t="n"/>
      <c r="V30" s="237" t="n"/>
      <c r="W30" s="237" t="n"/>
      <c r="X30" s="237" t="n"/>
      <c r="Y30" s="237" t="n"/>
      <c r="Z30" s="243" t="n">
        <v>19202</v>
      </c>
      <c r="AA30" s="244" t="n"/>
      <c r="AB30" s="292" t="inlineStr">
        <is>
          <t>3/25/2026</t>
        </is>
      </c>
      <c r="AC30" s="238" t="inlineStr">
        <is>
          <t>Christina Nilsson</t>
        </is>
      </c>
    </row>
    <row r="31" ht="14" customFormat="1" customHeight="1" s="238">
      <c r="A31" s="237" t="n">
        <v>22</v>
      </c>
      <c r="B31" s="237" t="inlineStr">
        <is>
          <t>P5016</t>
        </is>
      </c>
      <c r="C31" s="237" t="inlineStr">
        <is>
          <t>SGNSC</t>
        </is>
      </c>
      <c r="E31" s="239" t="inlineStr">
        <is>
          <t>4/24/2026</t>
        </is>
      </c>
      <c r="F31" s="237" t="inlineStr">
        <is>
          <t>LMS Training</t>
        </is>
      </c>
      <c r="G31" s="237" t="inlineStr">
        <is>
          <t>Offering of IHG Way of Sales - Effective Sales Negotiations</t>
        </is>
      </c>
      <c r="H31" s="237" t="inlineStr">
        <is>
          <t>USD</t>
        </is>
      </c>
      <c r="I31" s="237" t="n">
        <v>375</v>
      </c>
      <c r="J31" s="237" t="n"/>
      <c r="K31" s="237" t="n">
        <v>76615</v>
      </c>
      <c r="L31" s="237" t="n"/>
      <c r="M31" s="237" t="n"/>
      <c r="N31" s="237" t="n"/>
      <c r="O31" s="237" t="inlineStr">
        <is>
          <t>Offering of IHG Way of Sales - Effective Sales Negotiations</t>
        </is>
      </c>
      <c r="P31" s="237" t="n"/>
      <c r="Q31" s="237" t="n"/>
      <c r="R31" s="237" t="n"/>
      <c r="S31" s="237" t="n"/>
      <c r="T31" s="237" t="n"/>
      <c r="U31" s="241" t="n"/>
      <c r="V31" s="237" t="n"/>
      <c r="W31" s="237" t="n"/>
      <c r="X31" s="237" t="n"/>
      <c r="Y31" s="237" t="n"/>
      <c r="Z31" s="240" t="n">
        <v>19314</v>
      </c>
      <c r="AA31" s="237" t="n"/>
      <c r="AB31" s="237" t="inlineStr">
        <is>
          <t>3/16/2026</t>
        </is>
      </c>
      <c r="AC31" s="237" t="inlineStr">
        <is>
          <t>Duong Khoa</t>
        </is>
      </c>
      <c r="AD31" s="237" t="n"/>
      <c r="AE31" s="237" t="n"/>
      <c r="AF31" s="237" t="n"/>
      <c r="AG31" s="237" t="n"/>
      <c r="AH31" s="237" t="n"/>
      <c r="AI31" s="237" t="n"/>
      <c r="AJ31" s="237" t="n"/>
      <c r="AK31" s="237" t="n"/>
      <c r="AL31" s="237" t="n"/>
      <c r="AM31" s="237" t="n"/>
      <c r="AN31" s="237" t="n"/>
      <c r="AO31" s="237" t="n"/>
      <c r="AP31" s="237" t="n"/>
      <c r="AQ31" s="237" t="n"/>
      <c r="AR31" s="237" t="n"/>
      <c r="AS31" s="237" t="n"/>
      <c r="AT31" s="237" t="n"/>
    </row>
    <row r="32" ht="14" customFormat="1" customHeight="1" s="238">
      <c r="A32" s="237" t="n">
        <v>23</v>
      </c>
      <c r="B32" s="237" t="inlineStr">
        <is>
          <t>P5016</t>
        </is>
      </c>
      <c r="C32" s="237" t="inlineStr">
        <is>
          <t>HHQHA</t>
        </is>
      </c>
      <c r="E32" s="239" t="inlineStr">
        <is>
          <t>4/24/2026</t>
        </is>
      </c>
      <c r="F32" s="237" t="inlineStr">
        <is>
          <t>LMS Training</t>
        </is>
      </c>
      <c r="G32" s="237" t="inlineStr">
        <is>
          <t>Offering of IHG Way of Sales - Effective Sales Negotiations</t>
        </is>
      </c>
      <c r="H32" s="237" t="inlineStr">
        <is>
          <t>USD</t>
        </is>
      </c>
      <c r="I32" s="237" t="n">
        <v>375</v>
      </c>
      <c r="J32" s="237" t="n"/>
      <c r="K32" s="237" t="n">
        <v>76615</v>
      </c>
      <c r="L32" s="237" t="n"/>
      <c r="M32" s="237" t="n"/>
      <c r="N32" s="237" t="n"/>
      <c r="O32" s="237" t="inlineStr">
        <is>
          <t>Offering of IHG Way of Sales - Effective Sales Negotiations</t>
        </is>
      </c>
      <c r="P32" s="237" t="n"/>
      <c r="Q32" s="237" t="n"/>
      <c r="R32" s="237" t="n"/>
      <c r="S32" s="237" t="n"/>
      <c r="T32" s="237" t="n"/>
      <c r="U32" s="241" t="n"/>
      <c r="V32" s="237" t="n"/>
      <c r="W32" s="237" t="n"/>
      <c r="X32" s="237" t="n"/>
      <c r="Y32" s="237" t="n"/>
      <c r="Z32" s="240" t="n">
        <v>19226</v>
      </c>
      <c r="AA32" s="237" t="n"/>
      <c r="AB32" s="242" t="inlineStr">
        <is>
          <t>3/25/2026</t>
        </is>
      </c>
      <c r="AC32" s="237" t="inlineStr">
        <is>
          <t>Jarubeth Ngernhiran</t>
        </is>
      </c>
      <c r="AD32" s="237" t="n"/>
      <c r="AE32" s="237" t="n"/>
      <c r="AF32" s="237" t="n"/>
      <c r="AG32" s="237" t="n"/>
      <c r="AH32" s="237" t="n"/>
      <c r="AI32" s="237" t="n"/>
      <c r="AJ32" s="237" t="n"/>
      <c r="AK32" s="237" t="n"/>
      <c r="AL32" s="237" t="n"/>
      <c r="AM32" s="237" t="n"/>
      <c r="AN32" s="237" t="n"/>
      <c r="AO32" s="237" t="n"/>
      <c r="AP32" s="237" t="n"/>
      <c r="AQ32" s="237" t="n"/>
      <c r="AR32" s="237" t="n"/>
      <c r="AS32" s="237" t="n"/>
      <c r="AT32" s="237" t="n"/>
    </row>
    <row r="33" ht="14" customFormat="1" customHeight="1" s="238">
      <c r="A33" s="237" t="n">
        <v>24</v>
      </c>
      <c r="B33" s="237" t="inlineStr">
        <is>
          <t>P5016</t>
        </is>
      </c>
      <c r="C33" s="237" t="inlineStr">
        <is>
          <t>SINHI</t>
        </is>
      </c>
      <c r="E33" s="239" t="inlineStr">
        <is>
          <t>4/24/2026</t>
        </is>
      </c>
      <c r="F33" s="237" t="inlineStr">
        <is>
          <t>LMS Training</t>
        </is>
      </c>
      <c r="G33" s="237" t="inlineStr">
        <is>
          <t>Change Management for Supervisors</t>
        </is>
      </c>
      <c r="H33" s="237" t="inlineStr">
        <is>
          <t>USD</t>
        </is>
      </c>
      <c r="I33" s="237" t="n">
        <v>60</v>
      </c>
      <c r="J33" s="237" t="n"/>
      <c r="K33" s="237" t="n">
        <v>70256</v>
      </c>
      <c r="L33" s="237" t="n"/>
      <c r="M33" s="237" t="n"/>
      <c r="N33" s="237" t="n"/>
      <c r="O33" s="237" t="inlineStr">
        <is>
          <t>Change Management for Supervisors</t>
        </is>
      </c>
      <c r="P33" s="237" t="n"/>
      <c r="Q33" s="237" t="n"/>
      <c r="R33" s="237" t="n"/>
      <c r="S33" s="237" t="n"/>
      <c r="T33" s="237" t="n"/>
      <c r="U33" s="241" t="n"/>
      <c r="V33" s="237" t="n"/>
      <c r="W33" s="237" t="n"/>
      <c r="X33" s="237" t="n"/>
      <c r="Y33" s="237" t="n"/>
      <c r="Z33" s="240" t="n">
        <v>19663</v>
      </c>
      <c r="AA33" s="237" t="n"/>
      <c r="AB33" s="237" t="n">
        <v/>
      </c>
      <c r="AC33" s="237" t="inlineStr">
        <is>
          <t>Albin Jose</t>
        </is>
      </c>
      <c r="AD33" s="237" t="n"/>
      <c r="AE33" s="237" t="n"/>
      <c r="AF33" s="237" t="n"/>
      <c r="AG33" s="237" t="n"/>
      <c r="AH33" s="237" t="n"/>
      <c r="AI33" s="237" t="n"/>
      <c r="AJ33" s="237" t="n"/>
      <c r="AK33" s="237" t="n"/>
      <c r="AL33" s="237" t="n"/>
      <c r="AM33" s="237" t="n"/>
      <c r="AN33" s="237" t="n"/>
      <c r="AO33" s="237" t="n"/>
      <c r="AP33" s="237" t="n"/>
      <c r="AQ33" s="237" t="n"/>
      <c r="AR33" s="237" t="n"/>
      <c r="AS33" s="237" t="n"/>
      <c r="AT33" s="237" t="n"/>
    </row>
    <row r="34" ht="14" customFormat="1" customHeight="1" s="238">
      <c r="A34" s="237" t="n">
        <v>25</v>
      </c>
      <c r="B34" s="237" t="inlineStr">
        <is>
          <t>P5016</t>
        </is>
      </c>
      <c r="C34" s="237" t="inlineStr">
        <is>
          <t>PQCDB</t>
        </is>
      </c>
      <c r="E34" s="239" t="inlineStr">
        <is>
          <t>4/24/2026</t>
        </is>
      </c>
      <c r="F34" s="237" t="inlineStr">
        <is>
          <t>LMS Training</t>
        </is>
      </c>
      <c r="G34" s="237" t="inlineStr">
        <is>
          <t>Offering of IHG Way of Sales - Effective Sales Negotiations</t>
        </is>
      </c>
      <c r="H34" s="237" t="inlineStr">
        <is>
          <t>USD</t>
        </is>
      </c>
      <c r="I34" s="238" t="n">
        <v>375</v>
      </c>
      <c r="J34" s="237" t="n"/>
      <c r="K34" s="237" t="n">
        <v>76615</v>
      </c>
      <c r="L34" s="237" t="n"/>
      <c r="M34" s="237" t="n"/>
      <c r="N34" s="237" t="n"/>
      <c r="O34" s="237" t="inlineStr">
        <is>
          <t>Offering of IHG Way of Sales - Effective Sales Negotiations</t>
        </is>
      </c>
      <c r="P34" s="237" t="n"/>
      <c r="Q34" s="237" t="n"/>
      <c r="R34" s="237" t="n"/>
      <c r="S34" s="237" t="n"/>
      <c r="T34" s="237" t="n"/>
      <c r="U34" s="241" t="n"/>
      <c r="V34" s="237" t="n"/>
      <c r="W34" s="237" t="n"/>
      <c r="X34" s="237" t="n"/>
      <c r="Y34" s="237" t="n"/>
      <c r="Z34" s="240" t="n">
        <v>19587</v>
      </c>
      <c r="AA34" s="237" t="n"/>
      <c r="AB34" s="242" t="inlineStr">
        <is>
          <t>3/16/2026</t>
        </is>
      </c>
      <c r="AC34" s="237" t="inlineStr">
        <is>
          <t>Bang Do</t>
        </is>
      </c>
      <c r="AD34" s="237" t="n"/>
      <c r="AE34" s="237" t="n"/>
      <c r="AF34" s="237" t="n"/>
      <c r="AG34" s="237" t="n"/>
      <c r="AH34" s="237" t="n"/>
      <c r="AI34" s="237" t="n"/>
      <c r="AJ34" s="237" t="n"/>
      <c r="AK34" s="237" t="n"/>
      <c r="AL34" s="237" t="n"/>
      <c r="AM34" s="237" t="n"/>
      <c r="AN34" s="237" t="n"/>
      <c r="AO34" s="237" t="n"/>
      <c r="AP34" s="237" t="n"/>
      <c r="AQ34" s="237" t="n"/>
      <c r="AR34" s="237" t="n"/>
      <c r="AS34" s="237" t="n"/>
      <c r="AT34" s="237" t="n"/>
    </row>
    <row r="35" ht="14" customFormat="1" customHeight="1" s="238">
      <c r="A35" s="237" t="n">
        <v>26</v>
      </c>
      <c r="B35" s="237" t="inlineStr">
        <is>
          <t>P6022</t>
        </is>
      </c>
      <c r="C35" s="237" t="inlineStr">
        <is>
          <t>CNXWC</t>
        </is>
      </c>
      <c r="E35" s="239" t="inlineStr">
        <is>
          <t>4/24/2026</t>
        </is>
      </c>
      <c r="F35" s="237" t="inlineStr">
        <is>
          <t>LMS Training</t>
        </is>
      </c>
      <c r="G35" s="237" t="inlineStr">
        <is>
          <t>Offering of Departmental Trainer Programme</t>
        </is>
      </c>
      <c r="H35" s="237" t="inlineStr">
        <is>
          <t>USD</t>
        </is>
      </c>
      <c r="I35" s="237" t="n">
        <v>100</v>
      </c>
      <c r="J35" s="237" t="n"/>
      <c r="K35" s="237" t="n">
        <v>73168</v>
      </c>
      <c r="L35" s="237" t="n"/>
      <c r="M35" s="237" t="n"/>
      <c r="N35" s="237" t="n"/>
      <c r="O35" s="237" t="inlineStr">
        <is>
          <t>Offering of Departmental Trainer Programme</t>
        </is>
      </c>
      <c r="P35" s="237" t="n"/>
      <c r="Q35" s="237" t="n"/>
      <c r="R35" s="237" t="n"/>
      <c r="S35" s="237" t="n"/>
      <c r="T35" s="237" t="n"/>
      <c r="U35" s="241" t="n"/>
      <c r="V35" s="237" t="n"/>
      <c r="W35" s="237" t="n"/>
      <c r="X35" s="237" t="n"/>
      <c r="Y35" s="237" t="n"/>
      <c r="Z35" s="240" t="n">
        <v>154141373</v>
      </c>
      <c r="AA35" s="237" t="n"/>
      <c r="AB35" s="237" t="inlineStr">
        <is>
          <t>3/11/2026</t>
        </is>
      </c>
      <c r="AC35" s="237" t="inlineStr">
        <is>
          <t>Watchara Yingjaroen</t>
        </is>
      </c>
      <c r="AD35" s="237" t="n"/>
      <c r="AE35" s="237" t="n"/>
      <c r="AF35" s="237" t="n"/>
      <c r="AG35" s="237" t="n"/>
      <c r="AH35" s="237" t="n"/>
      <c r="AI35" s="237" t="n"/>
      <c r="AJ35" s="237" t="n"/>
      <c r="AK35" s="237" t="n"/>
      <c r="AL35" s="237" t="n"/>
      <c r="AM35" s="237" t="n"/>
      <c r="AN35" s="237" t="n"/>
      <c r="AO35" s="237" t="n"/>
      <c r="AP35" s="237" t="n"/>
      <c r="AQ35" s="237" t="n"/>
      <c r="AR35" s="237" t="n"/>
      <c r="AS35" s="237" t="n"/>
      <c r="AT35" s="237" t="n"/>
      <c r="AU35" s="237" t="n"/>
      <c r="AV35" s="237" t="n"/>
      <c r="AW35" s="237" t="n"/>
      <c r="AX35" s="237" t="n"/>
      <c r="AY35" s="237" t="n"/>
      <c r="AZ35" s="237" t="n"/>
      <c r="BA35" s="237" t="n"/>
      <c r="BB35" s="237" t="n"/>
      <c r="BC35" s="237" t="n"/>
      <c r="BD35" s="237" t="n"/>
      <c r="BE35" s="237" t="n"/>
      <c r="BF35" s="237" t="n"/>
      <c r="BG35" s="237" t="n"/>
      <c r="BH35" s="237" t="n"/>
    </row>
    <row r="36" ht="14" customFormat="1" customHeight="1" s="238">
      <c r="A36" s="237" t="n">
        <v>27</v>
      </c>
      <c r="B36" s="237" t="inlineStr">
        <is>
          <t>P6066</t>
        </is>
      </c>
      <c r="C36" s="237" t="inlineStr">
        <is>
          <t>HGHHB</t>
        </is>
      </c>
      <c r="E36" s="239" t="inlineStr">
        <is>
          <t>4/24/2026</t>
        </is>
      </c>
      <c r="F36" s="237" t="inlineStr">
        <is>
          <t>LMS Training</t>
        </is>
      </c>
      <c r="G36" s="237" t="inlineStr">
        <is>
          <t>Offering of Greater China Excom Learning Day (Chinese)</t>
        </is>
      </c>
      <c r="H36" s="237" t="inlineStr">
        <is>
          <t>CNY</t>
        </is>
      </c>
      <c r="I36" s="237" t="n">
        <v>360</v>
      </c>
      <c r="J36" s="237" t="n"/>
      <c r="K36" s="237" t="n">
        <v>73576</v>
      </c>
      <c r="L36" s="237" t="n"/>
      <c r="M36" s="237" t="n"/>
      <c r="N36" s="237" t="n"/>
      <c r="O36" s="237" t="inlineStr">
        <is>
          <t>Offering of Greater China Excom Learning Day (Chinese)</t>
        </is>
      </c>
      <c r="P36" s="237" t="n"/>
      <c r="Q36" s="237" t="n"/>
      <c r="R36" s="237" t="n"/>
      <c r="S36" s="237" t="n"/>
      <c r="T36" s="237" t="n"/>
      <c r="U36" s="241" t="n"/>
      <c r="V36" s="237" t="n"/>
      <c r="W36" s="237" t="n"/>
      <c r="X36" s="237" t="n"/>
      <c r="Y36" s="237" t="n"/>
      <c r="Z36" s="240" t="n">
        <v>19786</v>
      </c>
      <c r="AA36" s="237" t="n"/>
      <c r="AB36" s="237" t="inlineStr">
        <is>
          <t>3/17/2026</t>
        </is>
      </c>
      <c r="AC36" s="237" t="inlineStr">
        <is>
          <t>Alan Hong</t>
        </is>
      </c>
      <c r="AD36" s="237" t="n"/>
      <c r="AE36" s="237" t="n"/>
      <c r="AF36" s="237" t="n"/>
      <c r="AG36" s="237" t="n"/>
      <c r="AH36" s="237" t="n"/>
      <c r="AI36" s="237" t="n"/>
      <c r="AJ36" s="237" t="n"/>
      <c r="AK36" s="237" t="n"/>
      <c r="AL36" s="237" t="n"/>
      <c r="AM36" s="237" t="n"/>
      <c r="AN36" s="237" t="n"/>
      <c r="AO36" s="237" t="n"/>
      <c r="AP36" s="237" t="n"/>
      <c r="AQ36" s="237" t="n"/>
      <c r="AR36" s="237" t="n"/>
      <c r="AS36" s="237" t="n"/>
      <c r="AT36" s="237" t="n"/>
      <c r="AU36" s="237" t="n"/>
      <c r="AV36" s="237" t="n"/>
      <c r="AW36" s="237" t="n"/>
      <c r="AX36" s="237" t="n"/>
      <c r="AY36" s="237" t="n"/>
      <c r="AZ36" s="237" t="n"/>
      <c r="BA36" s="237" t="n"/>
      <c r="BB36" s="237" t="n"/>
      <c r="BC36" s="237" t="n"/>
      <c r="BD36" s="237" t="n"/>
      <c r="BE36" s="237" t="n"/>
      <c r="BF36" s="237" t="n"/>
      <c r="BG36" s="237" t="n"/>
      <c r="BH36" s="237" t="n"/>
    </row>
    <row r="37" ht="14" customFormat="1" customHeight="1" s="238">
      <c r="A37" s="237" t="n">
        <v>28</v>
      </c>
      <c r="B37" s="237" t="inlineStr">
        <is>
          <t>P5016</t>
        </is>
      </c>
      <c r="C37" s="237" t="inlineStr">
        <is>
          <t>DADHA</t>
        </is>
      </c>
      <c r="E37" s="239" t="inlineStr">
        <is>
          <t>4/24/2026</t>
        </is>
      </c>
      <c r="F37" s="237" t="inlineStr">
        <is>
          <t>LMS Training</t>
        </is>
      </c>
      <c r="G37" s="237" t="inlineStr">
        <is>
          <t>Offering of IHG Way of Sales - Effective Sales Negotiations</t>
        </is>
      </c>
      <c r="H37" s="237" t="inlineStr">
        <is>
          <t>USD</t>
        </is>
      </c>
      <c r="I37" s="237" t="n">
        <v>375</v>
      </c>
      <c r="J37" s="237" t="n"/>
      <c r="K37" s="237" t="n">
        <v>76615</v>
      </c>
      <c r="L37" s="237" t="n"/>
      <c r="M37" s="237" t="n"/>
      <c r="N37" s="237" t="n"/>
      <c r="O37" s="237" t="inlineStr">
        <is>
          <t>Offering of IHG Way of Sales - Effective Sales Negotiations</t>
        </is>
      </c>
      <c r="P37" s="237" t="n"/>
      <c r="Q37" s="237" t="n"/>
      <c r="R37" s="237" t="n"/>
      <c r="S37" s="237" t="n"/>
      <c r="T37" s="237" t="n"/>
      <c r="U37" s="241" t="n"/>
      <c r="V37" s="237" t="n"/>
      <c r="W37" s="237" t="n"/>
      <c r="X37" s="237" t="n"/>
      <c r="Y37" s="237" t="n"/>
      <c r="Z37" s="240" t="n">
        <v>19637</v>
      </c>
      <c r="AA37" s="237" t="n"/>
      <c r="AB37" s="237" t="inlineStr">
        <is>
          <t>3/16/2026</t>
        </is>
      </c>
      <c r="AC37" s="237" t="inlineStr">
        <is>
          <t>Thao Nguyen</t>
        </is>
      </c>
      <c r="AD37" s="237" t="n"/>
      <c r="AE37" s="237" t="n"/>
      <c r="AF37" s="237" t="n"/>
      <c r="AG37" s="237" t="n"/>
      <c r="AH37" s="237" t="n"/>
      <c r="AI37" s="237" t="n"/>
      <c r="AJ37" s="237" t="n"/>
      <c r="AK37" s="237" t="n"/>
      <c r="AL37" s="237" t="n"/>
      <c r="AM37" s="237" t="n"/>
      <c r="AN37" s="237" t="n"/>
      <c r="AU37" s="237" t="n"/>
      <c r="AV37" s="237" t="n"/>
      <c r="AW37" s="237" t="n"/>
      <c r="AX37" s="237" t="n"/>
      <c r="AY37" s="237" t="n"/>
      <c r="AZ37" s="237" t="n"/>
      <c r="BA37" s="237" t="n"/>
      <c r="BB37" s="237" t="n"/>
      <c r="BC37" s="237" t="n"/>
      <c r="BD37" s="237" t="n"/>
      <c r="BE37" s="237" t="n"/>
      <c r="BF37" s="237" t="n"/>
      <c r="BG37" s="237" t="n"/>
      <c r="BH37" s="237" t="n"/>
    </row>
    <row r="38" ht="14" customFormat="1" customHeight="1" s="238">
      <c r="A38" s="237" t="n">
        <v>29</v>
      </c>
      <c r="B38" s="237" t="inlineStr">
        <is>
          <t>P6066</t>
        </is>
      </c>
      <c r="C38" s="237" t="inlineStr">
        <is>
          <t>SUZHA</t>
        </is>
      </c>
      <c r="E38" s="239" t="inlineStr">
        <is>
          <t>4/24/2026</t>
        </is>
      </c>
      <c r="F38" s="237" t="inlineStr">
        <is>
          <t>LMS Training</t>
        </is>
      </c>
      <c r="G38" s="237" t="inlineStr">
        <is>
          <t>Offering of Craft Training Certificate (Chinese)</t>
        </is>
      </c>
      <c r="H38" s="237" t="inlineStr">
        <is>
          <t>CNY</t>
        </is>
      </c>
      <c r="I38" s="237" t="n">
        <v>4240</v>
      </c>
      <c r="J38" s="237" t="n"/>
      <c r="K38" s="237" t="n">
        <v>73576</v>
      </c>
      <c r="L38" s="237" t="n"/>
      <c r="M38" s="237" t="n"/>
      <c r="N38" s="237" t="n"/>
      <c r="O38" s="237" t="inlineStr">
        <is>
          <t>Offering of Craft Training Certificate (Chinese)</t>
        </is>
      </c>
      <c r="P38" s="237" t="n"/>
      <c r="Q38" s="237" t="n"/>
      <c r="R38" s="237" t="n"/>
      <c r="S38" s="237" t="n"/>
      <c r="T38" s="237" t="n"/>
      <c r="U38" s="245" t="n"/>
      <c r="V38" s="237" t="n"/>
      <c r="W38" s="237" t="n"/>
      <c r="X38" s="237" t="n"/>
      <c r="Y38" s="237" t="n"/>
      <c r="Z38" s="240" t="n">
        <v>20032</v>
      </c>
      <c r="AA38" s="237" t="n"/>
      <c r="AB38" s="237" t="inlineStr">
        <is>
          <t>3/22/2026</t>
        </is>
      </c>
      <c r="AC38" s="237" t="inlineStr">
        <is>
          <t>Yumi Li</t>
        </is>
      </c>
      <c r="AD38" s="237" t="n"/>
      <c r="AE38" s="237" t="n"/>
      <c r="AF38" s="237" t="n"/>
      <c r="AG38" s="237" t="n"/>
      <c r="AH38" s="237" t="n"/>
      <c r="AI38" s="237" t="n"/>
      <c r="AJ38" s="237" t="n"/>
      <c r="AK38" s="237" t="n"/>
      <c r="AL38" s="237" t="n"/>
      <c r="AM38" s="237" t="n"/>
      <c r="AN38" s="237" t="n"/>
      <c r="AU38" s="237" t="n"/>
      <c r="AV38" s="237" t="n"/>
      <c r="AW38" s="237" t="n"/>
      <c r="AX38" s="237" t="n"/>
      <c r="AY38" s="237" t="n"/>
      <c r="AZ38" s="237" t="n"/>
      <c r="BA38" s="237" t="n"/>
      <c r="BB38" s="237" t="n"/>
      <c r="BC38" s="237" t="n"/>
      <c r="BD38" s="237" t="n"/>
      <c r="BE38" s="237" t="n"/>
      <c r="BF38" s="237" t="n"/>
      <c r="BG38" s="237" t="n"/>
      <c r="BH38" s="237" t="n"/>
    </row>
    <row r="39" ht="14" customFormat="1" customHeight="1" s="238">
      <c r="A39" s="237" t="n">
        <v>30</v>
      </c>
      <c r="B39" s="237" t="inlineStr">
        <is>
          <t>P6066</t>
        </is>
      </c>
      <c r="C39" s="237" t="inlineStr">
        <is>
          <t>FOCCP</t>
        </is>
      </c>
      <c r="E39" s="239" t="inlineStr">
        <is>
          <t>4/24/2026</t>
        </is>
      </c>
      <c r="F39" s="237" t="inlineStr">
        <is>
          <t>LMS Training</t>
        </is>
      </c>
      <c r="G39" s="237" t="inlineStr">
        <is>
          <t>Offering of Greater China Excom Learning Day (Chinese)</t>
        </is>
      </c>
      <c r="H39" s="237" t="inlineStr">
        <is>
          <t>CNY</t>
        </is>
      </c>
      <c r="I39" s="237" t="n">
        <v>2120</v>
      </c>
      <c r="J39" s="237" t="n"/>
      <c r="K39" s="237" t="n">
        <v>73576</v>
      </c>
      <c r="L39" s="237" t="n"/>
      <c r="M39" s="237" t="n"/>
      <c r="N39" s="237" t="n"/>
      <c r="O39" s="237" t="inlineStr">
        <is>
          <t>Offering of Greater China Excom Learning Day (Chinese)</t>
        </is>
      </c>
      <c r="P39" s="237" t="n"/>
      <c r="Q39" s="237" t="n"/>
      <c r="R39" s="237" t="n"/>
      <c r="S39" s="237" t="n"/>
      <c r="T39" s="237" t="n"/>
      <c r="U39" s="245" t="n"/>
      <c r="V39" s="237" t="n"/>
      <c r="W39" s="237" t="n"/>
      <c r="X39" s="237" t="n"/>
      <c r="Y39" s="237" t="n"/>
      <c r="Z39" s="240" t="n">
        <v>19780</v>
      </c>
      <c r="AA39" s="237" t="n"/>
      <c r="AB39" s="237" t="inlineStr">
        <is>
          <t>3/17/2026</t>
        </is>
      </c>
      <c r="AC39" s="237" t="inlineStr">
        <is>
          <t>Bob Bai</t>
        </is>
      </c>
      <c r="AD39" s="237" t="n"/>
      <c r="AE39" s="237" t="n"/>
      <c r="AF39" s="237" t="n"/>
      <c r="AG39" s="237" t="n"/>
      <c r="AH39" s="237" t="n"/>
      <c r="AI39" s="237" t="n"/>
      <c r="AJ39" s="237" t="n"/>
      <c r="AK39" s="237" t="n"/>
      <c r="AL39" s="237" t="n"/>
      <c r="AM39" s="237" t="n"/>
      <c r="AN39" s="237" t="n"/>
      <c r="AU39" s="237" t="n"/>
      <c r="AV39" s="237" t="n"/>
      <c r="AW39" s="237" t="n"/>
      <c r="AX39" s="237" t="n"/>
      <c r="AY39" s="237" t="n"/>
      <c r="AZ39" s="237" t="n"/>
      <c r="BA39" s="237" t="n"/>
      <c r="BB39" s="237" t="n"/>
      <c r="BC39" s="237" t="n"/>
      <c r="BD39" s="237" t="n"/>
      <c r="BE39" s="237" t="n"/>
      <c r="BF39" s="237" t="n"/>
      <c r="BG39" s="237" t="n"/>
      <c r="BH39" s="237" t="n"/>
    </row>
    <row r="40" ht="14" customFormat="1" customHeight="1" s="238">
      <c r="A40" s="237" t="n">
        <v>31</v>
      </c>
      <c r="B40" s="237" t="inlineStr">
        <is>
          <t>P5016</t>
        </is>
      </c>
      <c r="C40" s="237" t="inlineStr">
        <is>
          <t>VTGVT</t>
        </is>
      </c>
      <c r="E40" s="239" t="inlineStr">
        <is>
          <t>4/24/2026</t>
        </is>
      </c>
      <c r="F40" s="237" t="inlineStr">
        <is>
          <t>LMS Training</t>
        </is>
      </c>
      <c r="G40" s="237" t="inlineStr">
        <is>
          <t>Offering of IHG Way of Sales - Effective Sales Negotiations</t>
        </is>
      </c>
      <c r="H40" s="237" t="inlineStr">
        <is>
          <t>USD</t>
        </is>
      </c>
      <c r="I40" s="237" t="n">
        <v>375</v>
      </c>
      <c r="J40" s="237" t="n"/>
      <c r="K40" s="237" t="n">
        <v>76615</v>
      </c>
      <c r="L40" s="237" t="n"/>
      <c r="M40" s="237" t="n"/>
      <c r="N40" s="237" t="n"/>
      <c r="O40" s="237" t="inlineStr">
        <is>
          <t>Offering of IHG Way of Sales - Effective Sales Negotiations</t>
        </is>
      </c>
      <c r="P40" s="237" t="n"/>
      <c r="Q40" s="237" t="n"/>
      <c r="R40" s="237" t="n"/>
      <c r="S40" s="237" t="n"/>
      <c r="T40" s="237" t="n"/>
      <c r="U40" s="245" t="n"/>
      <c r="V40" s="237" t="n"/>
      <c r="W40" s="237" t="n"/>
      <c r="X40" s="237" t="n"/>
      <c r="Y40" s="237" t="n"/>
      <c r="Z40" s="240" t="n">
        <v>19307</v>
      </c>
      <c r="AA40" s="237" t="n"/>
      <c r="AB40" s="237" t="inlineStr">
        <is>
          <t>3/16/2026</t>
        </is>
      </c>
      <c r="AC40" s="237" t="inlineStr">
        <is>
          <t>Phuong Doan</t>
        </is>
      </c>
      <c r="AD40" s="237" t="n"/>
      <c r="AE40" s="237" t="n"/>
      <c r="AF40" s="237" t="n"/>
      <c r="AG40" s="237" t="n"/>
      <c r="AH40" s="237" t="n"/>
      <c r="AI40" s="237" t="n"/>
      <c r="AJ40" s="237" t="n"/>
      <c r="AK40" s="237" t="n"/>
      <c r="AL40" s="237" t="n"/>
      <c r="AM40" s="237" t="n"/>
      <c r="AN40" s="237" t="n"/>
      <c r="AU40" s="237" t="n"/>
      <c r="AV40" s="237" t="n"/>
      <c r="AW40" s="237" t="n"/>
      <c r="AX40" s="237" t="n"/>
      <c r="AY40" s="237" t="n"/>
      <c r="AZ40" s="237" t="n"/>
      <c r="BA40" s="237" t="n"/>
      <c r="BB40" s="237" t="n"/>
      <c r="BC40" s="237" t="n"/>
      <c r="BD40" s="237" t="n"/>
      <c r="BE40" s="237" t="n"/>
      <c r="BF40" s="237" t="n"/>
      <c r="BG40" s="237" t="n"/>
      <c r="BH40" s="237" t="n"/>
    </row>
    <row r="41" ht="14" customFormat="1" customHeight="1" s="238">
      <c r="A41" s="237" t="n">
        <v>32</v>
      </c>
      <c r="B41" s="237" t="inlineStr">
        <is>
          <t>P5016</t>
        </is>
      </c>
      <c r="C41" s="237" t="inlineStr">
        <is>
          <t>VTGVT</t>
        </is>
      </c>
      <c r="E41" s="239" t="inlineStr">
        <is>
          <t>4/24/2026</t>
        </is>
      </c>
      <c r="F41" s="237" t="inlineStr">
        <is>
          <t>LMS Training</t>
        </is>
      </c>
      <c r="G41" s="237" t="inlineStr">
        <is>
          <t>Offering of IHG Way of Sales - Effective Sales Negotiations</t>
        </is>
      </c>
      <c r="H41" s="237" t="inlineStr">
        <is>
          <t>USD</t>
        </is>
      </c>
      <c r="I41" s="237" t="n">
        <v>375</v>
      </c>
      <c r="J41" s="237" t="n"/>
      <c r="K41" s="237" t="n">
        <v>76615</v>
      </c>
      <c r="L41" s="237" t="n"/>
      <c r="M41" s="237" t="n"/>
      <c r="N41" s="237" t="n"/>
      <c r="O41" s="237" t="inlineStr">
        <is>
          <t>Offering of IHG Way of Sales - Effective Sales Negotiations</t>
        </is>
      </c>
      <c r="P41" s="237" t="n"/>
      <c r="Q41" s="237" t="n"/>
      <c r="R41" s="237" t="n"/>
      <c r="S41" s="237" t="n"/>
      <c r="T41" s="237" t="n"/>
      <c r="U41" s="241" t="n"/>
      <c r="V41" s="237" t="n"/>
      <c r="W41" s="237" t="n"/>
      <c r="X41" s="237" t="n"/>
      <c r="Y41" s="237" t="n"/>
      <c r="Z41" s="240" t="n">
        <v>19309</v>
      </c>
      <c r="AA41" s="237" t="n"/>
      <c r="AB41" s="237" t="inlineStr">
        <is>
          <t>3/16/2026</t>
        </is>
      </c>
      <c r="AC41" s="237" t="inlineStr">
        <is>
          <t>Nhung Thi Bich Pham</t>
        </is>
      </c>
      <c r="AD41" s="237" t="n"/>
      <c r="AE41" s="237" t="n"/>
      <c r="AF41" s="237" t="n"/>
      <c r="AG41" s="237" t="n"/>
      <c r="AH41" s="237" t="n"/>
      <c r="AI41" s="237" t="n"/>
      <c r="AJ41" s="237" t="n"/>
      <c r="AK41" s="237" t="n"/>
      <c r="AL41" s="237" t="n"/>
      <c r="AM41" s="237" t="n"/>
      <c r="AN41" s="237" t="n"/>
    </row>
    <row r="42" ht="14" customFormat="1" customHeight="1" s="238">
      <c r="A42" s="237" t="n">
        <v>33</v>
      </c>
      <c r="B42" s="237" t="inlineStr">
        <is>
          <t>P5016</t>
        </is>
      </c>
      <c r="C42" s="237" t="inlineStr">
        <is>
          <t>SINOR</t>
        </is>
      </c>
      <c r="E42" s="239" t="inlineStr">
        <is>
          <t>4/24/2026</t>
        </is>
      </c>
      <c r="F42" s="237" t="inlineStr">
        <is>
          <t>LMS Training</t>
        </is>
      </c>
      <c r="G42" s="237" t="inlineStr">
        <is>
          <t>Nurturing Talent for Supervisors</t>
        </is>
      </c>
      <c r="H42" s="237" t="inlineStr">
        <is>
          <t>USD</t>
        </is>
      </c>
      <c r="I42" s="237" t="n">
        <v>60</v>
      </c>
      <c r="J42" s="237" t="n"/>
      <c r="K42" s="237" t="n">
        <v>70256</v>
      </c>
      <c r="L42" s="237" t="n"/>
      <c r="M42" s="237" t="n"/>
      <c r="N42" s="237" t="n"/>
      <c r="O42" s="237" t="inlineStr">
        <is>
          <t>Nurturing Talent for Supervisors</t>
        </is>
      </c>
      <c r="P42" s="237" t="n"/>
      <c r="Q42" s="237" t="n"/>
      <c r="R42" s="237" t="n"/>
      <c r="S42" s="237" t="n"/>
      <c r="T42" s="237" t="n"/>
      <c r="U42" s="241" t="n"/>
      <c r="V42" s="237" t="n"/>
      <c r="W42" s="237" t="n"/>
      <c r="X42" s="237" t="n"/>
      <c r="Y42" s="237" t="n"/>
      <c r="Z42" s="240" t="n">
        <v>19388</v>
      </c>
      <c r="AA42" s="237" t="n"/>
      <c r="AB42" s="237" t="n">
        <v/>
      </c>
      <c r="AC42" s="237" t="inlineStr">
        <is>
          <t>WONG ZHUANGSENG</t>
        </is>
      </c>
      <c r="AD42" s="237" t="n"/>
      <c r="AE42" s="237" t="n"/>
      <c r="AF42" s="237" t="n"/>
      <c r="AG42" s="237" t="n"/>
      <c r="AH42" s="237" t="n"/>
      <c r="AI42" s="237" t="n"/>
      <c r="AJ42" s="237" t="n"/>
      <c r="AK42" s="237" t="n"/>
      <c r="AL42" s="237" t="n"/>
      <c r="AM42" s="237" t="n"/>
      <c r="AN42" s="237" t="n"/>
    </row>
    <row r="43" ht="14" customFormat="1" customHeight="1" s="238">
      <c r="A43" s="237" t="n">
        <v>34</v>
      </c>
      <c r="B43" s="237" t="inlineStr">
        <is>
          <t>P5016</t>
        </is>
      </c>
      <c r="C43" s="237" t="inlineStr">
        <is>
          <t>BKKTH</t>
        </is>
      </c>
      <c r="E43" s="239" t="inlineStr">
        <is>
          <t>4/24/2026</t>
        </is>
      </c>
      <c r="F43" s="237" t="inlineStr">
        <is>
          <t>LMS Training</t>
        </is>
      </c>
      <c r="G43" s="237" t="inlineStr">
        <is>
          <t>Offering of IHG Way of Sales - Effective Sales Negotiations</t>
        </is>
      </c>
      <c r="H43" s="237" t="inlineStr">
        <is>
          <t>USD</t>
        </is>
      </c>
      <c r="I43" s="237" t="n">
        <v>375</v>
      </c>
      <c r="J43" s="237" t="n"/>
      <c r="K43" s="237" t="n">
        <v>76615</v>
      </c>
      <c r="L43" s="237" t="n"/>
      <c r="M43" s="237" t="n"/>
      <c r="N43" s="237" t="n"/>
      <c r="O43" s="237" t="inlineStr">
        <is>
          <t>Offering of IHG Way of Sales - Effective Sales Negotiations</t>
        </is>
      </c>
      <c r="P43" s="237" t="n"/>
      <c r="Q43" s="237" t="n"/>
      <c r="R43" s="237" t="n"/>
      <c r="S43" s="237" t="n"/>
      <c r="T43" s="237" t="n"/>
      <c r="U43" s="245" t="n"/>
      <c r="V43" s="237" t="n"/>
      <c r="W43" s="237" t="n"/>
      <c r="X43" s="237" t="n"/>
      <c r="Y43" s="237" t="n"/>
      <c r="Z43" s="240" t="n">
        <v>19197</v>
      </c>
      <c r="AA43" s="237" t="n"/>
      <c r="AB43" s="237" t="inlineStr">
        <is>
          <t>3/25/2026</t>
        </is>
      </c>
      <c r="AC43" s="237" t="inlineStr">
        <is>
          <t>Thitiporn Duangkaew</t>
        </is>
      </c>
      <c r="AD43" s="237" t="n"/>
      <c r="AE43" s="237" t="n"/>
      <c r="AF43" s="237" t="n"/>
      <c r="AG43" s="237" t="n"/>
      <c r="AH43" s="237" t="n"/>
      <c r="AI43" s="237" t="n"/>
      <c r="AJ43" s="237" t="n"/>
      <c r="AK43" s="237" t="n"/>
      <c r="AL43" s="237" t="n"/>
      <c r="AM43" s="237" t="n"/>
      <c r="AN43" s="237" t="n"/>
    </row>
    <row r="44" ht="14" customFormat="1" customHeight="1" s="238">
      <c r="A44" s="237" t="n">
        <v>35</v>
      </c>
      <c r="B44" s="237" t="inlineStr">
        <is>
          <t>P5908</t>
        </is>
      </c>
      <c r="C44" s="237" t="inlineStr">
        <is>
          <t>PGHJC</t>
        </is>
      </c>
      <c r="E44" s="239" t="inlineStr">
        <is>
          <t>4/24/2026</t>
        </is>
      </c>
      <c r="F44" s="237" t="inlineStr">
        <is>
          <t>LMS Training</t>
        </is>
      </c>
      <c r="G44" s="237" t="inlineStr">
        <is>
          <t>Offering of Departmental Trainer Programme</t>
        </is>
      </c>
      <c r="H44" s="237" t="inlineStr">
        <is>
          <t>USD</t>
        </is>
      </c>
      <c r="I44" s="237" t="n">
        <v>50</v>
      </c>
      <c r="J44" s="237" t="n"/>
      <c r="K44" s="237" t="n">
        <v>81131</v>
      </c>
      <c r="L44" s="237" t="n"/>
      <c r="M44" s="237" t="n"/>
      <c r="N44" s="237" t="n"/>
      <c r="O44" s="237" t="inlineStr">
        <is>
          <t>Offering of Departmental Trainer Programme</t>
        </is>
      </c>
      <c r="P44" s="237" t="n"/>
      <c r="Q44" s="237" t="n"/>
      <c r="R44" s="237" t="n"/>
      <c r="S44" s="237" t="n"/>
      <c r="T44" s="237" t="n"/>
      <c r="U44" s="241" t="n"/>
      <c r="V44" s="237" t="n"/>
      <c r="W44" s="237" t="n"/>
      <c r="X44" s="237" t="n"/>
      <c r="Y44" s="237" t="n"/>
      <c r="Z44" s="240" t="n">
        <v>139176779</v>
      </c>
      <c r="AA44" s="237" t="n"/>
      <c r="AB44" s="237" t="inlineStr">
        <is>
          <t>9/15/2026</t>
        </is>
      </c>
      <c r="AC44" s="237" t="inlineStr">
        <is>
          <t>Jaspal Singh</t>
        </is>
      </c>
      <c r="AD44" s="237" t="n"/>
      <c r="AE44" s="237" t="n"/>
      <c r="AF44" s="237" t="n"/>
      <c r="AG44" s="237" t="n"/>
      <c r="AH44" s="237" t="n"/>
      <c r="AI44" s="237" t="n"/>
      <c r="AJ44" s="237" t="n"/>
      <c r="AK44" s="237" t="n"/>
      <c r="AL44" s="237" t="n"/>
      <c r="AM44" s="237" t="n"/>
      <c r="AN44" s="237" t="n"/>
    </row>
    <row r="45" ht="14" customFormat="1" customHeight="1" s="238">
      <c r="A45" s="237" t="n">
        <v>36</v>
      </c>
      <c r="B45" s="237" t="inlineStr">
        <is>
          <t>P5016</t>
        </is>
      </c>
      <c r="C45" s="237" t="inlineStr">
        <is>
          <t>DADCC</t>
        </is>
      </c>
      <c r="E45" s="239" t="inlineStr">
        <is>
          <t>4/24/2026</t>
        </is>
      </c>
      <c r="F45" s="237" t="inlineStr">
        <is>
          <t>LMS Training</t>
        </is>
      </c>
      <c r="G45" s="237" t="inlineStr">
        <is>
          <t>Offering of IHG Way of Sales - Effective Sales Negotiations</t>
        </is>
      </c>
      <c r="H45" s="237" t="inlineStr">
        <is>
          <t>USD</t>
        </is>
      </c>
      <c r="I45" s="237" t="n">
        <v>375</v>
      </c>
      <c r="J45" s="237" t="n"/>
      <c r="K45" s="237" t="n">
        <v>76615</v>
      </c>
      <c r="L45" s="237" t="n"/>
      <c r="M45" s="237" t="n"/>
      <c r="N45" s="237" t="n"/>
      <c r="O45" s="237" t="inlineStr">
        <is>
          <t>Offering of IHG Way of Sales - Effective Sales Negotiations</t>
        </is>
      </c>
      <c r="P45" s="237" t="n"/>
      <c r="Q45" s="237" t="n"/>
      <c r="R45" s="237" t="n"/>
      <c r="S45" s="237" t="n"/>
      <c r="T45" s="237" t="n"/>
      <c r="U45" s="241" t="n"/>
      <c r="V45" s="237" t="n"/>
      <c r="W45" s="237" t="n"/>
      <c r="X45" s="237" t="n"/>
      <c r="Y45" s="237" t="n"/>
      <c r="Z45" s="240" t="n">
        <v>19313</v>
      </c>
      <c r="AA45" s="237" t="n"/>
      <c r="AB45" s="242" t="inlineStr">
        <is>
          <t>3/16/2026</t>
        </is>
      </c>
      <c r="AC45" s="237" t="inlineStr">
        <is>
          <t>Phuong Uyen Bui</t>
        </is>
      </c>
      <c r="AD45" s="237" t="n"/>
      <c r="AE45" s="237" t="n"/>
      <c r="AF45" s="237" t="n"/>
      <c r="AG45" s="237" t="n"/>
      <c r="AH45" s="237" t="n"/>
      <c r="AI45" s="237" t="n"/>
      <c r="AJ45" s="237" t="n"/>
      <c r="AK45" s="237" t="n"/>
      <c r="AL45" s="237" t="n"/>
      <c r="AM45" s="237" t="n"/>
      <c r="AN45" s="237" t="n"/>
    </row>
    <row r="46" ht="14" customFormat="1" customHeight="1" s="238">
      <c r="A46" s="237" t="n">
        <v>37</v>
      </c>
      <c r="B46" s="237" t="inlineStr">
        <is>
          <t>P5016</t>
        </is>
      </c>
      <c r="C46" s="237" t="inlineStr">
        <is>
          <t>NHACH</t>
        </is>
      </c>
      <c r="E46" s="239" t="inlineStr">
        <is>
          <t>4/24/2026</t>
        </is>
      </c>
      <c r="F46" s="237" t="inlineStr">
        <is>
          <t>LMS Training</t>
        </is>
      </c>
      <c r="G46" s="237" t="inlineStr">
        <is>
          <t>Offering of IHG Way of Sales - Effective Sales Negotiations</t>
        </is>
      </c>
      <c r="H46" s="237" t="inlineStr">
        <is>
          <t>USD</t>
        </is>
      </c>
      <c r="I46" s="237" t="n">
        <v>375</v>
      </c>
      <c r="J46" s="237" t="n"/>
      <c r="K46" s="237" t="n">
        <v>76615</v>
      </c>
      <c r="L46" s="237" t="n"/>
      <c r="M46" s="237" t="n"/>
      <c r="N46" s="237" t="n"/>
      <c r="O46" s="237" t="inlineStr">
        <is>
          <t>Offering of IHG Way of Sales - Effective Sales Negotiations</t>
        </is>
      </c>
      <c r="P46" s="237" t="n"/>
      <c r="Q46" s="237" t="n"/>
      <c r="R46" s="237" t="n"/>
      <c r="S46" s="237" t="n"/>
      <c r="T46" s="237" t="n"/>
      <c r="U46" s="241" t="n"/>
      <c r="V46" s="237" t="n"/>
      <c r="W46" s="237" t="n"/>
      <c r="X46" s="237" t="n"/>
      <c r="Y46" s="237" t="n"/>
      <c r="Z46" s="240" t="n">
        <v>19350</v>
      </c>
      <c r="AA46" s="237" t="n"/>
      <c r="AB46" s="237" t="inlineStr">
        <is>
          <t>3/16/2026</t>
        </is>
      </c>
      <c r="AC46" s="237" t="inlineStr">
        <is>
          <t>Ngoc Nguyen</t>
        </is>
      </c>
      <c r="AD46" s="237" t="n"/>
      <c r="AE46" s="237" t="n"/>
      <c r="AF46" s="237" t="n"/>
      <c r="AG46" s="237" t="n"/>
      <c r="AH46" s="237" t="n"/>
      <c r="AI46" s="237" t="n"/>
      <c r="AJ46" s="237" t="n"/>
      <c r="AK46" s="237" t="n"/>
      <c r="AL46" s="237" t="n"/>
      <c r="AM46" s="237" t="n"/>
      <c r="AN46" s="237" t="n"/>
    </row>
    <row r="47" ht="14" customFormat="1" customHeight="1" s="238">
      <c r="A47" s="237" t="n">
        <v>38</v>
      </c>
      <c r="B47" s="237" t="inlineStr">
        <is>
          <t>P5016</t>
        </is>
      </c>
      <c r="C47" s="237" t="inlineStr">
        <is>
          <t>BKKTL</t>
        </is>
      </c>
      <c r="E47" s="239" t="inlineStr">
        <is>
          <t>4/24/2026</t>
        </is>
      </c>
      <c r="F47" s="237" t="inlineStr">
        <is>
          <t>LMS Training</t>
        </is>
      </c>
      <c r="G47" s="237" t="inlineStr">
        <is>
          <t>Optimizing Team Performance for Supervisors</t>
        </is>
      </c>
      <c r="H47" s="237" t="inlineStr">
        <is>
          <t>USD</t>
        </is>
      </c>
      <c r="I47" s="237" t="n">
        <v>30</v>
      </c>
      <c r="J47" s="237" t="n"/>
      <c r="K47" s="237" t="n">
        <v>70256</v>
      </c>
      <c r="L47" s="237" t="n"/>
      <c r="M47" s="237" t="n"/>
      <c r="N47" s="237" t="n"/>
      <c r="O47" s="237" t="inlineStr">
        <is>
          <t>Optimizing Team Performance for Supervisors</t>
        </is>
      </c>
      <c r="P47" s="237" t="n"/>
      <c r="Q47" s="237" t="n"/>
      <c r="R47" s="237" t="n"/>
      <c r="S47" s="237" t="n"/>
      <c r="T47" s="237" t="n"/>
      <c r="U47" s="245" t="n"/>
      <c r="V47" s="237" t="n"/>
      <c r="W47" s="237" t="n"/>
      <c r="X47" s="237" t="n"/>
      <c r="Y47" s="237" t="n"/>
      <c r="Z47" s="240" t="n">
        <v>19203</v>
      </c>
      <c r="AA47" s="237" t="n"/>
      <c r="AB47" s="242" t="n">
        <v/>
      </c>
      <c r="AC47" s="237" t="inlineStr">
        <is>
          <t>Kanokphan Karaphakdee</t>
        </is>
      </c>
      <c r="AD47" s="237" t="n"/>
      <c r="AE47" s="237" t="n"/>
      <c r="AF47" s="237" t="n"/>
      <c r="AG47" s="237" t="n"/>
      <c r="AH47" s="237" t="n"/>
      <c r="AI47" s="237" t="n"/>
      <c r="AJ47" s="237" t="n"/>
      <c r="AK47" s="237" t="n"/>
      <c r="AL47" s="237" t="n"/>
      <c r="AM47" s="237" t="n"/>
      <c r="AN47" s="237" t="n"/>
    </row>
    <row r="48" ht="14" customFormat="1" customHeight="1" s="238">
      <c r="A48" s="237" t="n">
        <v>39</v>
      </c>
      <c r="B48" s="237" t="inlineStr">
        <is>
          <t>P6066</t>
        </is>
      </c>
      <c r="C48" s="237" t="inlineStr">
        <is>
          <t>SHAKP</t>
        </is>
      </c>
      <c r="E48" s="239" t="inlineStr">
        <is>
          <t>4/24/2026</t>
        </is>
      </c>
      <c r="F48" s="237" t="inlineStr">
        <is>
          <t>LMS Training</t>
        </is>
      </c>
      <c r="G48" s="237" t="inlineStr">
        <is>
          <t>Offering of Group Training Certificate</t>
        </is>
      </c>
      <c r="H48" s="237" t="inlineStr">
        <is>
          <t>CNY</t>
        </is>
      </c>
      <c r="I48" s="237" t="n">
        <v>4240</v>
      </c>
      <c r="J48" s="237" t="n"/>
      <c r="K48" s="237" t="n">
        <v>73576</v>
      </c>
      <c r="L48" s="237" t="n"/>
      <c r="M48" s="237" t="n"/>
      <c r="N48" s="237" t="n"/>
      <c r="O48" s="237" t="inlineStr">
        <is>
          <t>Offering of Group Training Certificate</t>
        </is>
      </c>
      <c r="P48" s="237" t="n"/>
      <c r="Q48" s="237" t="n"/>
      <c r="R48" s="237" t="n"/>
      <c r="S48" s="237" t="n"/>
      <c r="T48" s="237" t="n"/>
      <c r="U48" s="241" t="n"/>
      <c r="V48" s="237" t="n"/>
      <c r="W48" s="237" t="n"/>
      <c r="X48" s="237" t="n"/>
      <c r="Y48" s="237" t="n"/>
      <c r="Z48" s="240" t="n">
        <v>20047</v>
      </c>
      <c r="AA48" s="237" t="n"/>
      <c r="AB48" s="237" t="inlineStr">
        <is>
          <t>3/24/2026</t>
        </is>
      </c>
      <c r="AC48" s="237" t="inlineStr">
        <is>
          <t>Nichole Fan</t>
        </is>
      </c>
      <c r="AD48" s="237" t="n"/>
      <c r="AE48" s="237" t="n"/>
      <c r="AF48" s="237" t="n"/>
      <c r="AG48" s="237" t="n"/>
      <c r="AH48" s="237" t="n"/>
      <c r="AI48" s="237" t="n"/>
      <c r="AJ48" s="237" t="n"/>
      <c r="AK48" s="237" t="n"/>
      <c r="AL48" s="237" t="n"/>
      <c r="AM48" s="237" t="n"/>
      <c r="AN48" s="237" t="n"/>
    </row>
    <row r="49" ht="14" customFormat="1" customHeight="1" s="238">
      <c r="A49" s="237" t="n">
        <v>40</v>
      </c>
      <c r="B49" s="237" t="inlineStr">
        <is>
          <t>P5016</t>
        </is>
      </c>
      <c r="C49" s="237" t="inlineStr">
        <is>
          <t>BKKCP</t>
        </is>
      </c>
      <c r="E49" s="239" t="inlineStr">
        <is>
          <t>4/24/2026</t>
        </is>
      </c>
      <c r="F49" s="237" t="inlineStr">
        <is>
          <t>LMS Training</t>
        </is>
      </c>
      <c r="G49" s="237" t="inlineStr">
        <is>
          <t>Offering of IHG Way of Sales - Effective Sales Negotiations</t>
        </is>
      </c>
      <c r="H49" s="237" t="inlineStr">
        <is>
          <t>USD</t>
        </is>
      </c>
      <c r="I49" s="238" t="n">
        <v>375</v>
      </c>
      <c r="K49" s="238" t="n">
        <v>76615</v>
      </c>
      <c r="O49" s="237" t="inlineStr">
        <is>
          <t>Offering of IHG Way of Sales - Effective Sales Negotiations</t>
        </is>
      </c>
      <c r="P49" s="246" t="n"/>
      <c r="Q49" s="246" t="n"/>
      <c r="R49" s="246" t="n"/>
      <c r="S49" s="246" t="n"/>
      <c r="T49" s="246" t="n"/>
      <c r="U49" s="246" t="n"/>
      <c r="V49" s="246" t="n"/>
      <c r="W49" s="246" t="n"/>
      <c r="X49" s="246" t="n"/>
      <c r="Y49" s="246" t="n"/>
      <c r="Z49" s="240" t="n">
        <v>19205</v>
      </c>
      <c r="AA49" s="237" t="n"/>
      <c r="AB49" s="237" t="inlineStr">
        <is>
          <t>3/25/2026</t>
        </is>
      </c>
      <c r="AC49" s="237" t="inlineStr">
        <is>
          <t>Dararat Ketwongviriya</t>
        </is>
      </c>
      <c r="AD49" s="237" t="n"/>
      <c r="AE49" s="237" t="n"/>
      <c r="AF49" s="237" t="n"/>
      <c r="AG49" s="237" t="n"/>
      <c r="AH49" s="237" t="n"/>
      <c r="AI49" s="237" t="n"/>
      <c r="AJ49" s="237" t="n"/>
      <c r="AK49" s="237" t="n"/>
      <c r="AL49" s="237" t="n"/>
      <c r="AM49" s="237" t="n"/>
      <c r="AN49" s="237" t="n"/>
    </row>
    <row r="50" ht="14" customFormat="1" customHeight="1" s="238">
      <c r="A50" s="237" t="n">
        <v>41</v>
      </c>
      <c r="B50" s="237" t="inlineStr">
        <is>
          <t>P5016</t>
        </is>
      </c>
      <c r="C50" s="237" t="inlineStr">
        <is>
          <t>SINCP</t>
        </is>
      </c>
      <c r="E50" s="239" t="inlineStr">
        <is>
          <t>4/24/2026</t>
        </is>
      </c>
      <c r="F50" s="237" t="inlineStr">
        <is>
          <t>LMS Training</t>
        </is>
      </c>
      <c r="G50" s="237" t="inlineStr">
        <is>
          <t>Change Management for Supervisors</t>
        </is>
      </c>
      <c r="H50" s="237" t="inlineStr">
        <is>
          <t>USD</t>
        </is>
      </c>
      <c r="I50" s="238" t="n">
        <v>60</v>
      </c>
      <c r="K50" s="238" t="n">
        <v>70256</v>
      </c>
      <c r="O50" s="237" t="inlineStr">
        <is>
          <t>Change Management for Supervisors</t>
        </is>
      </c>
      <c r="P50" s="246" t="n"/>
      <c r="Q50" s="246" t="n"/>
      <c r="R50" s="246" t="n"/>
      <c r="S50" s="246" t="n"/>
      <c r="T50" s="246" t="n"/>
      <c r="U50" s="246" t="n"/>
      <c r="V50" s="246" t="n"/>
      <c r="W50" s="246" t="n"/>
      <c r="X50" s="246" t="n"/>
      <c r="Y50" s="246" t="n"/>
      <c r="Z50" s="243" t="n">
        <v>19914</v>
      </c>
      <c r="AB50" s="247" t="n">
        <v/>
      </c>
      <c r="AC50" s="238" t="inlineStr">
        <is>
          <t>Aamrinjit Kaur</t>
        </is>
      </c>
    </row>
    <row r="51" ht="14" customFormat="1" customHeight="1" s="238">
      <c r="A51" s="237" t="n">
        <v>42</v>
      </c>
      <c r="B51" s="237" t="inlineStr">
        <is>
          <t>P6066</t>
        </is>
      </c>
      <c r="C51" s="237" t="inlineStr">
        <is>
          <t>FOCFS</t>
        </is>
      </c>
      <c r="E51" s="239" t="inlineStr">
        <is>
          <t>4/24/2026</t>
        </is>
      </c>
      <c r="F51" s="237" t="inlineStr">
        <is>
          <t>LMS Training</t>
        </is>
      </c>
      <c r="G51" s="237" t="inlineStr">
        <is>
          <t>Offering of Greater China Excom Learning Day (Chinese)</t>
        </is>
      </c>
      <c r="H51" s="237" t="inlineStr">
        <is>
          <t>CNY</t>
        </is>
      </c>
      <c r="I51" s="238" t="n">
        <v>2120</v>
      </c>
      <c r="K51" s="238" t="n">
        <v>73576</v>
      </c>
      <c r="O51" s="237" t="inlineStr">
        <is>
          <t>Offering of Greater China Excom Learning Day (Chinese)</t>
        </is>
      </c>
      <c r="P51" s="246" t="n"/>
      <c r="Q51" s="246" t="n"/>
      <c r="R51" s="246" t="n"/>
      <c r="S51" s="246" t="n"/>
      <c r="T51" s="246" t="n"/>
      <c r="U51" s="246" t="n"/>
      <c r="V51" s="246" t="n"/>
      <c r="W51" s="246" t="n"/>
      <c r="X51" s="246" t="n"/>
      <c r="Y51" s="246" t="n"/>
      <c r="Z51" s="243" t="n">
        <v>19779</v>
      </c>
      <c r="AB51" s="244" t="inlineStr">
        <is>
          <t>3/17/2026</t>
        </is>
      </c>
      <c r="AC51" s="238" t="inlineStr">
        <is>
          <t>Windy Yang</t>
        </is>
      </c>
    </row>
    <row r="52" ht="14" customFormat="1" customHeight="1" s="238">
      <c r="A52" s="237" t="n">
        <v>43</v>
      </c>
      <c r="B52" s="237" t="inlineStr">
        <is>
          <t>P5016</t>
        </is>
      </c>
      <c r="C52" s="237" t="inlineStr">
        <is>
          <t>SINCP</t>
        </is>
      </c>
      <c r="E52" s="239" t="inlineStr">
        <is>
          <t>4/24/2026</t>
        </is>
      </c>
      <c r="F52" s="237" t="inlineStr">
        <is>
          <t>LMS Training</t>
        </is>
      </c>
      <c r="G52" s="237" t="inlineStr">
        <is>
          <t>Change Management for Supervisors</t>
        </is>
      </c>
      <c r="H52" s="237" t="inlineStr">
        <is>
          <t>USD</t>
        </is>
      </c>
      <c r="I52" s="238" t="n">
        <v>60</v>
      </c>
      <c r="K52" s="238" t="n">
        <v>70256</v>
      </c>
      <c r="O52" s="237" t="inlineStr">
        <is>
          <t>Change Management for Supervisors</t>
        </is>
      </c>
      <c r="P52" s="246" t="n"/>
      <c r="Q52" s="246" t="n"/>
      <c r="R52" s="246" t="n"/>
      <c r="S52" s="246" t="n"/>
      <c r="T52" s="246" t="n"/>
      <c r="U52" s="246" t="n"/>
      <c r="V52" s="246" t="n"/>
      <c r="W52" s="246" t="n"/>
      <c r="X52" s="246" t="n"/>
      <c r="Y52" s="246" t="n"/>
      <c r="Z52" s="243" t="n">
        <v>19931</v>
      </c>
      <c r="AB52" s="244" t="n">
        <v/>
      </c>
      <c r="AC52" s="238" t="inlineStr">
        <is>
          <t>Xiao Wern Gan</t>
        </is>
      </c>
    </row>
    <row r="53" ht="14" customFormat="1" customHeight="1" s="238">
      <c r="A53" s="237" t="n">
        <v>44</v>
      </c>
      <c r="B53" s="237" t="inlineStr">
        <is>
          <t>P6066</t>
        </is>
      </c>
      <c r="C53" s="237" t="inlineStr">
        <is>
          <t>WUXHA</t>
        </is>
      </c>
      <c r="E53" s="239" t="inlineStr">
        <is>
          <t>4/24/2026</t>
        </is>
      </c>
      <c r="F53" s="237" t="inlineStr">
        <is>
          <t>LMS Training</t>
        </is>
      </c>
      <c r="G53" s="237" t="inlineStr">
        <is>
          <t>Offering of Training Needs Diagnosis (Lead Business-Driven Training) (Chinese)</t>
        </is>
      </c>
      <c r="H53" s="237" t="inlineStr">
        <is>
          <t>CNY</t>
        </is>
      </c>
      <c r="I53" s="238" t="n">
        <v>2120</v>
      </c>
      <c r="K53" s="238" t="n">
        <v>73576</v>
      </c>
      <c r="O53" s="237" t="inlineStr">
        <is>
          <t>Offering of Training Needs Diagnosis (Lead Business-Driven Training) (Chinese)</t>
        </is>
      </c>
      <c r="P53" s="246" t="n"/>
      <c r="Q53" s="246" t="n"/>
      <c r="R53" s="246" t="n"/>
      <c r="S53" s="246" t="n"/>
      <c r="T53" s="246" t="n"/>
      <c r="U53" s="246" t="n"/>
      <c r="V53" s="246" t="n"/>
      <c r="W53" s="246" t="n"/>
      <c r="X53" s="246" t="n"/>
      <c r="Y53" s="246" t="n"/>
      <c r="Z53" s="243" t="n">
        <v>20051</v>
      </c>
      <c r="AB53" s="244" t="inlineStr">
        <is>
          <t>3/26/2026</t>
        </is>
      </c>
      <c r="AC53" s="238" t="inlineStr">
        <is>
          <t>Xinwen Yan</t>
        </is>
      </c>
    </row>
    <row r="54" ht="14" customFormat="1" customHeight="1" s="238">
      <c r="A54" s="237" t="n">
        <v>45</v>
      </c>
      <c r="B54" s="237" t="inlineStr">
        <is>
          <t>P5016</t>
        </is>
      </c>
      <c r="C54" s="237" t="inlineStr">
        <is>
          <t>MNLBA</t>
        </is>
      </c>
      <c r="E54" s="239" t="inlineStr">
        <is>
          <t>4/24/2026</t>
        </is>
      </c>
      <c r="F54" s="237" t="inlineStr">
        <is>
          <t>LMS Training</t>
        </is>
      </c>
      <c r="G54" s="237" t="inlineStr">
        <is>
          <t>Setting Goals and Managing Resources for Supervisors</t>
        </is>
      </c>
      <c r="H54" s="237" t="inlineStr">
        <is>
          <t>USD</t>
        </is>
      </c>
      <c r="I54" s="238" t="n">
        <v>30</v>
      </c>
      <c r="K54" s="238" t="n">
        <v>70256</v>
      </c>
      <c r="O54" s="237" t="inlineStr">
        <is>
          <t>Setting Goals and Managing Resources for Supervisors</t>
        </is>
      </c>
      <c r="P54" s="246" t="n"/>
      <c r="Q54" s="246" t="n"/>
      <c r="R54" s="246" t="n"/>
      <c r="S54" s="246" t="n"/>
      <c r="T54" s="246" t="n"/>
      <c r="U54" s="246" t="n"/>
      <c r="V54" s="246" t="n"/>
      <c r="W54" s="246" t="n"/>
      <c r="X54" s="246" t="n"/>
      <c r="Y54" s="246" t="n"/>
      <c r="Z54" s="243" t="n">
        <v>19199</v>
      </c>
      <c r="AB54" s="244" t="n">
        <v/>
      </c>
      <c r="AC54" s="238" t="inlineStr">
        <is>
          <t>Joaquin Antonio Javier</t>
        </is>
      </c>
    </row>
    <row r="55" ht="14" customFormat="1" customHeight="1" s="238">
      <c r="A55" s="237" t="n">
        <v>46</v>
      </c>
      <c r="B55" s="237" t="inlineStr">
        <is>
          <t>P5016</t>
        </is>
      </c>
      <c r="C55" s="237" t="inlineStr">
        <is>
          <t>MNLBA</t>
        </is>
      </c>
      <c r="E55" s="239" t="inlineStr">
        <is>
          <t>4/24/2026</t>
        </is>
      </c>
      <c r="F55" s="237" t="inlineStr">
        <is>
          <t>LMS Training</t>
        </is>
      </c>
      <c r="G55" s="237" t="inlineStr">
        <is>
          <t>Team Collaboration Strategies for Supervisors</t>
        </is>
      </c>
      <c r="H55" s="237" t="inlineStr">
        <is>
          <t>USD</t>
        </is>
      </c>
      <c r="I55" s="238" t="n">
        <v>30</v>
      </c>
      <c r="K55" s="238" t="n">
        <v>70256</v>
      </c>
      <c r="O55" s="237" t="inlineStr">
        <is>
          <t>Team Collaboration Strategies for Supervisors</t>
        </is>
      </c>
      <c r="P55" s="246" t="n"/>
      <c r="Q55" s="246" t="n"/>
      <c r="R55" s="246" t="n"/>
      <c r="S55" s="246" t="n"/>
      <c r="T55" s="246" t="n"/>
      <c r="U55" s="246" t="n"/>
      <c r="V55" s="246" t="n"/>
      <c r="W55" s="246" t="n"/>
      <c r="X55" s="246" t="n"/>
      <c r="Y55" s="246" t="n"/>
      <c r="Z55" s="243" t="n">
        <v>19491</v>
      </c>
      <c r="AB55" s="247" t="n">
        <v/>
      </c>
      <c r="AC55" s="238" t="inlineStr">
        <is>
          <t>Joaquin Antonio Javier</t>
        </is>
      </c>
    </row>
    <row r="56" ht="14" customFormat="1" customHeight="1" s="238">
      <c r="A56" s="237" t="n">
        <v>47</v>
      </c>
      <c r="B56" s="237" t="inlineStr">
        <is>
          <t>P5016</t>
        </is>
      </c>
      <c r="C56" s="237" t="inlineStr">
        <is>
          <t>SGNSA</t>
        </is>
      </c>
      <c r="E56" s="239" t="inlineStr">
        <is>
          <t>4/24/2026</t>
        </is>
      </c>
      <c r="F56" s="237" t="inlineStr">
        <is>
          <t>LMS Training</t>
        </is>
      </c>
      <c r="G56" s="237" t="inlineStr">
        <is>
          <t>Offering of IHG Way of Sales - Effective Sales Negotiations</t>
        </is>
      </c>
      <c r="H56" s="237" t="inlineStr">
        <is>
          <t>USD</t>
        </is>
      </c>
      <c r="I56" s="238" t="n">
        <v>375</v>
      </c>
      <c r="K56" s="238" t="n">
        <v>76615</v>
      </c>
      <c r="O56" s="237" t="inlineStr">
        <is>
          <t>Offering of IHG Way of Sales - Effective Sales Negotiations</t>
        </is>
      </c>
      <c r="P56" s="246" t="n"/>
      <c r="Q56" s="246" t="n"/>
      <c r="R56" s="246" t="n"/>
      <c r="S56" s="246" t="n"/>
      <c r="T56" s="246" t="n"/>
      <c r="U56" s="246" t="n"/>
      <c r="V56" s="246" t="n"/>
      <c r="W56" s="246" t="n"/>
      <c r="X56" s="246" t="n"/>
      <c r="Y56" s="246" t="n"/>
      <c r="Z56" s="243" t="n">
        <v>19318</v>
      </c>
      <c r="AB56" s="244" t="inlineStr">
        <is>
          <t>3/16/2026</t>
        </is>
      </c>
      <c r="AC56" s="238" t="inlineStr">
        <is>
          <t>Vu Nguyen</t>
        </is>
      </c>
    </row>
    <row r="57" ht="14" customFormat="1" customHeight="1" s="238">
      <c r="A57" s="237" t="n">
        <v>48</v>
      </c>
      <c r="B57" s="237" t="inlineStr">
        <is>
          <t>P6022</t>
        </is>
      </c>
      <c r="C57" s="237" t="inlineStr">
        <is>
          <t>SINCP</t>
        </is>
      </c>
      <c r="E57" s="239" t="inlineStr">
        <is>
          <t>4/24/2026</t>
        </is>
      </c>
      <c r="F57" s="237" t="inlineStr">
        <is>
          <t>LMS Training</t>
        </is>
      </c>
      <c r="G57" s="237" t="inlineStr">
        <is>
          <t>Learning Consultancy EMEAA Consultation - Building and leading a high performing team</t>
        </is>
      </c>
      <c r="H57" s="237" t="inlineStr">
        <is>
          <t>USD</t>
        </is>
      </c>
      <c r="I57" s="238" t="n">
        <v>1500</v>
      </c>
      <c r="K57" s="238" t="n">
        <v>73168</v>
      </c>
      <c r="O57" s="237" t="inlineStr">
        <is>
          <t>Learning Consultancy EMEAA Consultation - Building and leading a high performing team</t>
        </is>
      </c>
      <c r="P57" s="246" t="n"/>
      <c r="Q57" s="246" t="n"/>
      <c r="R57" s="246" t="n"/>
      <c r="S57" s="246" t="n"/>
      <c r="T57" s="246" t="n"/>
      <c r="U57" s="246" t="n"/>
      <c r="V57" s="246" t="n"/>
      <c r="W57" s="246" t="n"/>
      <c r="X57" s="246" t="n"/>
      <c r="Y57" s="246" t="n"/>
      <c r="Z57" s="243" t="n">
        <v>20100</v>
      </c>
      <c r="AB57" s="247" t="inlineStr">
        <is>
          <t>4/9/2026</t>
        </is>
      </c>
      <c r="AC57" s="238" t="inlineStr">
        <is>
          <t>Dina Chong</t>
        </is>
      </c>
    </row>
    <row r="58" ht="14" customFormat="1" customHeight="1" s="238">
      <c r="A58" s="237" t="n">
        <v>49</v>
      </c>
      <c r="B58" s="237" t="inlineStr">
        <is>
          <t>P5016</t>
        </is>
      </c>
      <c r="C58" s="237" t="inlineStr">
        <is>
          <t>SINCP</t>
        </is>
      </c>
      <c r="E58" s="239" t="inlineStr">
        <is>
          <t>4/24/2026</t>
        </is>
      </c>
      <c r="F58" s="237" t="inlineStr">
        <is>
          <t>LMS Training</t>
        </is>
      </c>
      <c r="G58" s="237" t="inlineStr">
        <is>
          <t>Change Management for Supervisors</t>
        </is>
      </c>
      <c r="H58" s="237" t="inlineStr">
        <is>
          <t>USD</t>
        </is>
      </c>
      <c r="I58" s="238" t="n">
        <v>60</v>
      </c>
      <c r="K58" s="238" t="n">
        <v>70256</v>
      </c>
      <c r="O58" s="237" t="inlineStr">
        <is>
          <t>Change Management for Supervisors</t>
        </is>
      </c>
      <c r="P58" s="246" t="n"/>
      <c r="Q58" s="246" t="n"/>
      <c r="R58" s="246" t="n"/>
      <c r="S58" s="246" t="n"/>
      <c r="T58" s="246" t="n"/>
      <c r="U58" s="246" t="n"/>
      <c r="V58" s="246" t="n"/>
      <c r="W58" s="246" t="n"/>
      <c r="X58" s="246" t="n"/>
      <c r="Y58" s="246" t="n"/>
      <c r="Z58" s="243" t="n">
        <v>19910</v>
      </c>
      <c r="AB58" s="244" t="n">
        <v/>
      </c>
      <c r="AC58" s="238" t="inlineStr">
        <is>
          <t>Chen Hong Loo</t>
        </is>
      </c>
    </row>
    <row r="59" ht="14" customFormat="1" customHeight="1" s="238">
      <c r="A59" s="237" t="n">
        <v>50</v>
      </c>
      <c r="B59" s="237" t="inlineStr">
        <is>
          <t>P5016</t>
        </is>
      </c>
      <c r="C59" s="237" t="inlineStr">
        <is>
          <t>DADMB</t>
        </is>
      </c>
      <c r="E59" s="239" t="inlineStr">
        <is>
          <t>4/24/2026</t>
        </is>
      </c>
      <c r="F59" s="237" t="inlineStr">
        <is>
          <t>LMS Training</t>
        </is>
      </c>
      <c r="G59" s="237" t="inlineStr">
        <is>
          <t>Offering of IHG Way of Sales - Effective Sales Negotiations</t>
        </is>
      </c>
      <c r="H59" s="237" t="inlineStr">
        <is>
          <t>USD</t>
        </is>
      </c>
      <c r="I59" s="238" t="n">
        <v>375</v>
      </c>
      <c r="K59" s="238" t="n">
        <v>76615</v>
      </c>
      <c r="O59" s="237" t="inlineStr">
        <is>
          <t>Offering of IHG Way of Sales - Effective Sales Negotiations</t>
        </is>
      </c>
      <c r="P59" s="246" t="n"/>
      <c r="Q59" s="246" t="n"/>
      <c r="R59" s="246" t="n"/>
      <c r="S59" s="246" t="n"/>
      <c r="T59" s="246" t="n"/>
      <c r="U59" s="246" t="n"/>
      <c r="V59" s="246" t="n"/>
      <c r="W59" s="246" t="n"/>
      <c r="X59" s="246" t="n"/>
      <c r="Y59" s="246" t="n"/>
      <c r="Z59" s="243" t="n">
        <v>19310</v>
      </c>
      <c r="AB59" s="244" t="inlineStr">
        <is>
          <t>3/16/2026</t>
        </is>
      </c>
      <c r="AC59" s="238" t="inlineStr">
        <is>
          <t>Jenny Le</t>
        </is>
      </c>
    </row>
    <row r="60" ht="14" customFormat="1" customHeight="1" s="238">
      <c r="A60" s="237" t="n">
        <v>51</v>
      </c>
      <c r="B60" s="237" t="inlineStr">
        <is>
          <t>P6066</t>
        </is>
      </c>
      <c r="C60" s="237" t="inlineStr">
        <is>
          <t>SHGQR</t>
        </is>
      </c>
      <c r="E60" s="239" t="inlineStr">
        <is>
          <t>4/24/2026</t>
        </is>
      </c>
      <c r="F60" s="237" t="inlineStr">
        <is>
          <t>LMS Training</t>
        </is>
      </c>
      <c r="G60" s="237" t="inlineStr">
        <is>
          <t>Offering of Craft Training Certificate (Chinese)</t>
        </is>
      </c>
      <c r="H60" s="237" t="inlineStr">
        <is>
          <t>CNY</t>
        </is>
      </c>
      <c r="I60" s="238" t="n">
        <v>4240</v>
      </c>
      <c r="K60" s="238" t="n">
        <v>73576</v>
      </c>
      <c r="O60" s="237" t="inlineStr">
        <is>
          <t>Offering of Craft Training Certificate (Chinese)</t>
        </is>
      </c>
      <c r="P60" s="246" t="n"/>
      <c r="Q60" s="246" t="n"/>
      <c r="R60" s="246" t="n"/>
      <c r="S60" s="246" t="n"/>
      <c r="T60" s="246" t="n"/>
      <c r="U60" s="246" t="n"/>
      <c r="V60" s="246" t="n"/>
      <c r="W60" s="246" t="n"/>
      <c r="X60" s="246" t="n"/>
      <c r="Y60" s="246" t="n"/>
      <c r="Z60" s="243" t="n">
        <v>20036</v>
      </c>
      <c r="AB60" s="244" t="inlineStr">
        <is>
          <t>3/22/2026</t>
        </is>
      </c>
      <c r="AC60" s="238" t="inlineStr">
        <is>
          <t>Mulan Sun</t>
        </is>
      </c>
    </row>
    <row r="61" ht="14" customFormat="1" customHeight="1" s="238">
      <c r="A61" s="237" t="n">
        <v>52</v>
      </c>
      <c r="B61" s="237" t="inlineStr">
        <is>
          <t>P5016</t>
        </is>
      </c>
      <c r="C61" s="237" t="inlineStr">
        <is>
          <t>SINHI</t>
        </is>
      </c>
      <c r="E61" s="239" t="inlineStr">
        <is>
          <t>4/24/2026</t>
        </is>
      </c>
      <c r="F61" s="237" t="inlineStr">
        <is>
          <t>LMS Training</t>
        </is>
      </c>
      <c r="G61" s="237" t="inlineStr">
        <is>
          <t>Change Management for Supervisors</t>
        </is>
      </c>
      <c r="H61" s="237" t="inlineStr">
        <is>
          <t>USD</t>
        </is>
      </c>
      <c r="I61" s="238" t="n">
        <v>60</v>
      </c>
      <c r="K61" s="238" t="n">
        <v>70256</v>
      </c>
      <c r="O61" s="237" t="inlineStr">
        <is>
          <t>Change Management for Supervisors</t>
        </is>
      </c>
      <c r="P61" s="246" t="n"/>
      <c r="Q61" s="246" t="n"/>
      <c r="R61" s="246" t="n"/>
      <c r="S61" s="246" t="n"/>
      <c r="T61" s="246" t="n"/>
      <c r="U61" s="246" t="n"/>
      <c r="V61" s="246" t="n"/>
      <c r="W61" s="246" t="n"/>
      <c r="X61" s="246" t="n"/>
      <c r="Y61" s="246" t="n"/>
      <c r="Z61" s="243" t="n">
        <v>19661</v>
      </c>
      <c r="AB61" s="247" t="n">
        <v/>
      </c>
      <c r="AC61" s="238" t="inlineStr">
        <is>
          <t>Muhammad Raihan Abdul Rahman</t>
        </is>
      </c>
    </row>
    <row r="62" ht="14" customFormat="1" customHeight="1" s="238">
      <c r="A62" s="237" t="n">
        <v>53</v>
      </c>
      <c r="B62" s="237" t="inlineStr">
        <is>
          <t>P5016</t>
        </is>
      </c>
      <c r="C62" s="237" t="inlineStr">
        <is>
          <t>DADHA</t>
        </is>
      </c>
      <c r="E62" s="239" t="inlineStr">
        <is>
          <t>4/24/2026</t>
        </is>
      </c>
      <c r="F62" s="237" t="inlineStr">
        <is>
          <t>LMS Training</t>
        </is>
      </c>
      <c r="G62" s="237" t="inlineStr">
        <is>
          <t>Offering of IHG Way of Sales - Effective Sales Negotiations</t>
        </is>
      </c>
      <c r="H62" s="237" t="inlineStr">
        <is>
          <t>USD</t>
        </is>
      </c>
      <c r="I62" s="238" t="n">
        <v>375</v>
      </c>
      <c r="K62" s="238" t="n">
        <v>76615</v>
      </c>
      <c r="O62" s="237" t="inlineStr">
        <is>
          <t>Offering of IHG Way of Sales - Effective Sales Negotiations</t>
        </is>
      </c>
      <c r="P62" s="246" t="n"/>
      <c r="Q62" s="246" t="n"/>
      <c r="R62" s="246" t="n"/>
      <c r="S62" s="246" t="n"/>
      <c r="T62" s="246" t="n"/>
      <c r="U62" s="246" t="n"/>
      <c r="V62" s="246" t="n"/>
      <c r="W62" s="246" t="n"/>
      <c r="X62" s="246" t="n"/>
      <c r="Y62" s="246" t="n"/>
      <c r="Z62" s="243" t="n">
        <v>19636</v>
      </c>
      <c r="AB62" s="247" t="inlineStr">
        <is>
          <t>3/16/2026</t>
        </is>
      </c>
      <c r="AC62" s="238" t="inlineStr">
        <is>
          <t>Tu Le Thi Xuan</t>
        </is>
      </c>
    </row>
    <row r="63" ht="14" customFormat="1" customHeight="1" s="238">
      <c r="A63" s="237" t="n">
        <v>54</v>
      </c>
      <c r="B63" s="237" t="inlineStr">
        <is>
          <t>P6066</t>
        </is>
      </c>
      <c r="C63" s="237" t="inlineStr">
        <is>
          <t>SHGKS</t>
        </is>
      </c>
      <c r="E63" s="239" t="inlineStr">
        <is>
          <t>4/24/2026</t>
        </is>
      </c>
      <c r="F63" s="237" t="inlineStr">
        <is>
          <t>LMS Training</t>
        </is>
      </c>
      <c r="G63" s="237" t="inlineStr">
        <is>
          <t>Offering of Greater China Excom Learning Day (Chinese)</t>
        </is>
      </c>
      <c r="H63" s="237" t="inlineStr">
        <is>
          <t>CNY</t>
        </is>
      </c>
      <c r="I63" s="238" t="n">
        <v>2120</v>
      </c>
      <c r="K63" s="238" t="n">
        <v>73576</v>
      </c>
      <c r="O63" s="237" t="inlineStr">
        <is>
          <t>Offering of Greater China Excom Learning Day (Chinese)</t>
        </is>
      </c>
      <c r="P63" s="246" t="n"/>
      <c r="Q63" s="246" t="n"/>
      <c r="R63" s="246" t="n"/>
      <c r="S63" s="246" t="n"/>
      <c r="T63" s="246" t="n"/>
      <c r="U63" s="246" t="n"/>
      <c r="V63" s="246" t="n"/>
      <c r="W63" s="246" t="n"/>
      <c r="X63" s="246" t="n"/>
      <c r="Y63" s="246" t="n"/>
      <c r="Z63" s="243" t="n">
        <v>19775</v>
      </c>
      <c r="AB63" s="244" t="inlineStr">
        <is>
          <t>3/17/2026</t>
        </is>
      </c>
      <c r="AC63" s="238" t="inlineStr">
        <is>
          <t>Loui Liu</t>
        </is>
      </c>
    </row>
    <row r="64" ht="14" customFormat="1" customHeight="1" s="238">
      <c r="A64" s="237" t="n">
        <v>55</v>
      </c>
      <c r="B64" s="237" t="inlineStr">
        <is>
          <t>P6066</t>
        </is>
      </c>
      <c r="C64" s="237" t="inlineStr">
        <is>
          <t>HGHHB</t>
        </is>
      </c>
      <c r="E64" s="239" t="inlineStr">
        <is>
          <t>4/24/2026</t>
        </is>
      </c>
      <c r="F64" s="237" t="inlineStr">
        <is>
          <t>LMS Training</t>
        </is>
      </c>
      <c r="G64" s="237" t="inlineStr">
        <is>
          <t>Offering of Nurturing Talent for Supervisors (Chinese)</t>
        </is>
      </c>
      <c r="H64" s="237" t="inlineStr">
        <is>
          <t>CNY</t>
        </is>
      </c>
      <c r="I64" s="238" t="n">
        <v>360</v>
      </c>
      <c r="K64" s="238" t="n">
        <v>76100</v>
      </c>
      <c r="O64" s="237" t="inlineStr">
        <is>
          <t>Offering of Nurturing Talent for Supervisors (Chinese)</t>
        </is>
      </c>
      <c r="P64" s="246" t="n"/>
      <c r="Q64" s="246" t="n"/>
      <c r="R64" s="246" t="n"/>
      <c r="S64" s="246" t="n"/>
      <c r="T64" s="246" t="n"/>
      <c r="U64" s="246" t="n"/>
      <c r="V64" s="246" t="n"/>
      <c r="W64" s="246" t="n"/>
      <c r="X64" s="246" t="n"/>
      <c r="Y64" s="246" t="n"/>
      <c r="Z64" s="243" t="n">
        <v>18412</v>
      </c>
      <c r="AB64" s="247" t="inlineStr">
        <is>
          <t>12/17/2025</t>
        </is>
      </c>
      <c r="AC64" s="238" t="inlineStr">
        <is>
          <t>Candice Li</t>
        </is>
      </c>
    </row>
    <row r="65" ht="14" customFormat="1" customHeight="1" s="238">
      <c r="A65" s="237" t="n">
        <v>56</v>
      </c>
      <c r="B65" s="237" t="inlineStr">
        <is>
          <t>P5016</t>
        </is>
      </c>
      <c r="C65" s="237" t="inlineStr">
        <is>
          <t>MNLBA</t>
        </is>
      </c>
      <c r="E65" s="239" t="inlineStr">
        <is>
          <t>4/24/2026</t>
        </is>
      </c>
      <c r="F65" s="237" t="inlineStr">
        <is>
          <t>LMS Training</t>
        </is>
      </c>
      <c r="G65" s="237" t="inlineStr">
        <is>
          <t>Change Management for Supervisors</t>
        </is>
      </c>
      <c r="H65" s="237" t="inlineStr">
        <is>
          <t>USD</t>
        </is>
      </c>
      <c r="I65" s="238" t="n">
        <v>30</v>
      </c>
      <c r="K65" s="238" t="n">
        <v>70256</v>
      </c>
      <c r="O65" s="237" t="inlineStr">
        <is>
          <t>Change Management for Supervisors</t>
        </is>
      </c>
      <c r="P65" s="246" t="n"/>
      <c r="Q65" s="246" t="n"/>
      <c r="R65" s="246" t="n"/>
      <c r="S65" s="246" t="n"/>
      <c r="T65" s="246" t="n"/>
      <c r="U65" s="246" t="n"/>
      <c r="V65" s="246" t="n"/>
      <c r="W65" s="246" t="n"/>
      <c r="X65" s="246" t="n"/>
      <c r="Y65" s="246" t="n"/>
      <c r="Z65" s="243" t="n">
        <v>19700</v>
      </c>
      <c r="AB65" s="244" t="n">
        <v/>
      </c>
      <c r="AC65" s="238" t="inlineStr">
        <is>
          <t>Joaquin Antonio Javier</t>
        </is>
      </c>
    </row>
    <row r="66" ht="14" customFormat="1" customHeight="1" s="238">
      <c r="A66" s="237" t="n">
        <v>57</v>
      </c>
      <c r="B66" s="237" t="inlineStr">
        <is>
          <t>P5016</t>
        </is>
      </c>
      <c r="C66" s="237" t="inlineStr">
        <is>
          <t>NHASB</t>
        </is>
      </c>
      <c r="E66" s="239" t="inlineStr">
        <is>
          <t>4/24/2026</t>
        </is>
      </c>
      <c r="F66" s="237" t="inlineStr">
        <is>
          <t>LMS Training</t>
        </is>
      </c>
      <c r="G66" s="237" t="inlineStr">
        <is>
          <t>Offering of IHG Way of Sales - Effective Sales Negotiations</t>
        </is>
      </c>
      <c r="H66" s="237" t="inlineStr">
        <is>
          <t>USD</t>
        </is>
      </c>
      <c r="I66" s="238" t="n">
        <v>375</v>
      </c>
      <c r="K66" s="238" t="n">
        <v>76615</v>
      </c>
      <c r="O66" s="237" t="inlineStr">
        <is>
          <t>Offering of IHG Way of Sales - Effective Sales Negotiations</t>
        </is>
      </c>
      <c r="P66" s="246" t="n"/>
      <c r="Q66" s="246" t="n"/>
      <c r="R66" s="246" t="n"/>
      <c r="S66" s="246" t="n"/>
      <c r="T66" s="246" t="n"/>
      <c r="U66" s="246" t="n"/>
      <c r="V66" s="246" t="n"/>
      <c r="W66" s="246" t="n"/>
      <c r="X66" s="246" t="n"/>
      <c r="Y66" s="246" t="n"/>
      <c r="Z66" s="243" t="n">
        <v>19319</v>
      </c>
      <c r="AB66" s="244" t="inlineStr">
        <is>
          <t>3/16/2026</t>
        </is>
      </c>
      <c r="AC66" s="238" t="inlineStr">
        <is>
          <t>Thong Tran</t>
        </is>
      </c>
    </row>
    <row r="67" ht="14" customFormat="1" customHeight="1" s="238">
      <c r="A67" s="237" t="n">
        <v>58</v>
      </c>
      <c r="B67" s="237" t="inlineStr">
        <is>
          <t>P6066</t>
        </is>
      </c>
      <c r="C67" s="237" t="inlineStr">
        <is>
          <t>SIACP</t>
        </is>
      </c>
      <c r="E67" s="239" t="inlineStr">
        <is>
          <t>4/24/2026</t>
        </is>
      </c>
      <c r="F67" s="237" t="inlineStr">
        <is>
          <t>LMS Training</t>
        </is>
      </c>
      <c r="G67" s="237" t="inlineStr">
        <is>
          <t>Offering of Training Needs Diagnosis (Lead Business-Driven Training) (Chinese)</t>
        </is>
      </c>
      <c r="H67" s="237" t="inlineStr">
        <is>
          <t>CNY</t>
        </is>
      </c>
      <c r="I67" s="238" t="n">
        <v>2120</v>
      </c>
      <c r="K67" s="238" t="n">
        <v>73576</v>
      </c>
      <c r="O67" s="237" t="inlineStr">
        <is>
          <t>Offering of Training Needs Diagnosis (Lead Business-Driven Training) (Chinese)</t>
        </is>
      </c>
      <c r="P67" s="246" t="n"/>
      <c r="Q67" s="246" t="n"/>
      <c r="R67" s="246" t="n"/>
      <c r="S67" s="246" t="n"/>
      <c r="T67" s="246" t="n"/>
      <c r="U67" s="246" t="n"/>
      <c r="V67" s="246" t="n"/>
      <c r="W67" s="246" t="n"/>
      <c r="X67" s="246" t="n"/>
      <c r="Y67" s="246" t="n"/>
      <c r="Z67" s="243" t="n">
        <v>20059</v>
      </c>
      <c r="AB67" s="244" t="inlineStr">
        <is>
          <t>3/26/2026</t>
        </is>
      </c>
      <c r="AC67" s="238" t="inlineStr">
        <is>
          <t>YuYing Jia</t>
        </is>
      </c>
    </row>
    <row r="68" ht="14" customFormat="1" customHeight="1" s="238">
      <c r="A68" s="237" t="n">
        <v>59</v>
      </c>
      <c r="B68" s="237" t="inlineStr">
        <is>
          <t>P5016</t>
        </is>
      </c>
      <c r="C68" s="237" t="inlineStr">
        <is>
          <t>PQCDB</t>
        </is>
      </c>
      <c r="E68" s="239" t="inlineStr">
        <is>
          <t>4/24/2026</t>
        </is>
      </c>
      <c r="F68" s="237" t="inlineStr">
        <is>
          <t>LMS Training</t>
        </is>
      </c>
      <c r="G68" s="237" t="inlineStr">
        <is>
          <t>Offering of IHG Way of Sales - Effective Sales Negotiations</t>
        </is>
      </c>
      <c r="H68" s="237" t="inlineStr">
        <is>
          <t>USD</t>
        </is>
      </c>
      <c r="I68" s="238" t="n">
        <v>375</v>
      </c>
      <c r="K68" s="238" t="n">
        <v>76615</v>
      </c>
      <c r="O68" s="237" t="inlineStr">
        <is>
          <t>Offering of IHG Way of Sales - Effective Sales Negotiations</t>
        </is>
      </c>
      <c r="P68" s="246" t="n"/>
      <c r="Q68" s="246" t="n"/>
      <c r="R68" s="246" t="n"/>
      <c r="S68" s="246" t="n"/>
      <c r="T68" s="246" t="n"/>
      <c r="U68" s="246" t="n"/>
      <c r="V68" s="246" t="n"/>
      <c r="W68" s="246" t="n"/>
      <c r="X68" s="246" t="n"/>
      <c r="Y68" s="246" t="n"/>
      <c r="Z68" s="243" t="n">
        <v>19585</v>
      </c>
      <c r="AB68" s="244" t="inlineStr">
        <is>
          <t>3/16/2026</t>
        </is>
      </c>
      <c r="AC68" s="238" t="inlineStr">
        <is>
          <t>Hue Dang</t>
        </is>
      </c>
    </row>
    <row r="69" ht="14" customFormat="1" customHeight="1" s="238">
      <c r="A69" s="237" t="n">
        <v>60</v>
      </c>
      <c r="B69" s="237" t="inlineStr">
        <is>
          <t>P5016</t>
        </is>
      </c>
      <c r="C69" s="237" t="inlineStr">
        <is>
          <t>DADCC</t>
        </is>
      </c>
      <c r="E69" s="239" t="inlineStr">
        <is>
          <t>4/24/2026</t>
        </is>
      </c>
      <c r="F69" s="237" t="inlineStr">
        <is>
          <t>LMS Training</t>
        </is>
      </c>
      <c r="G69" s="237" t="inlineStr">
        <is>
          <t>Offering of IHG Way of Sales - Effective Sales Negotiations</t>
        </is>
      </c>
      <c r="H69" s="237" t="inlineStr">
        <is>
          <t>USD</t>
        </is>
      </c>
      <c r="I69" s="238" t="n">
        <v>375</v>
      </c>
      <c r="K69" s="238" t="n">
        <v>76615</v>
      </c>
      <c r="O69" s="237" t="inlineStr">
        <is>
          <t>Offering of IHG Way of Sales - Effective Sales Negotiations</t>
        </is>
      </c>
      <c r="P69" s="246" t="n"/>
      <c r="Q69" s="246" t="n"/>
      <c r="R69" s="246" t="n"/>
      <c r="S69" s="246" t="n"/>
      <c r="T69" s="246" t="n"/>
      <c r="U69" s="246" t="n"/>
      <c r="V69" s="246" t="n"/>
      <c r="W69" s="246" t="n"/>
      <c r="X69" s="246" t="n"/>
      <c r="Y69" s="246" t="n"/>
      <c r="Z69" s="243" t="n">
        <v>19312</v>
      </c>
      <c r="AB69" s="247" t="inlineStr">
        <is>
          <t>3/16/2026</t>
        </is>
      </c>
      <c r="AC69" s="238" t="inlineStr">
        <is>
          <t>Nhan Nguyen</t>
        </is>
      </c>
    </row>
    <row r="70" ht="14" customFormat="1" customHeight="1" s="238">
      <c r="A70" s="237" t="n">
        <v>61</v>
      </c>
      <c r="B70" s="237" t="inlineStr">
        <is>
          <t>P5016</t>
        </is>
      </c>
      <c r="C70" s="237" t="inlineStr">
        <is>
          <t>MNLBA</t>
        </is>
      </c>
      <c r="E70" s="239" t="inlineStr">
        <is>
          <t>4/24/2026</t>
        </is>
      </c>
      <c r="F70" s="237" t="inlineStr">
        <is>
          <t>LMS Training</t>
        </is>
      </c>
      <c r="G70" s="237" t="inlineStr">
        <is>
          <t>Change Management for Supervisors</t>
        </is>
      </c>
      <c r="H70" s="237" t="inlineStr">
        <is>
          <t>USD</t>
        </is>
      </c>
      <c r="I70" s="238" t="n">
        <v>30</v>
      </c>
      <c r="K70" s="238" t="n">
        <v>70256</v>
      </c>
      <c r="O70" s="237" t="inlineStr">
        <is>
          <t>Change Management for Supervisors</t>
        </is>
      </c>
      <c r="P70" s="246" t="n"/>
      <c r="Q70" s="246" t="n"/>
      <c r="R70" s="246" t="n"/>
      <c r="S70" s="246" t="n"/>
      <c r="T70" s="246" t="n"/>
      <c r="U70" s="246" t="n"/>
      <c r="V70" s="246" t="n"/>
      <c r="W70" s="246" t="n"/>
      <c r="X70" s="246" t="n"/>
      <c r="Y70" s="246" t="n"/>
      <c r="Z70" s="243" t="n">
        <v>19701</v>
      </c>
      <c r="AB70" s="244" t="n">
        <v/>
      </c>
      <c r="AC70" s="238" t="inlineStr">
        <is>
          <t>Elaine Balbuena</t>
        </is>
      </c>
    </row>
    <row r="71" ht="14" customFormat="1" customHeight="1" s="238">
      <c r="A71" s="237" t="n">
        <v>62</v>
      </c>
      <c r="B71" s="237" t="inlineStr">
        <is>
          <t>P6066</t>
        </is>
      </c>
      <c r="C71" s="237" t="inlineStr">
        <is>
          <t>YBPCP</t>
        </is>
      </c>
      <c r="E71" s="239" t="inlineStr">
        <is>
          <t>4/24/2026</t>
        </is>
      </c>
      <c r="F71" s="237" t="inlineStr">
        <is>
          <t>LMS Training</t>
        </is>
      </c>
      <c r="G71" s="237" t="inlineStr">
        <is>
          <t>Offering of Greater China Excom Learning Day (Chinese)</t>
        </is>
      </c>
      <c r="H71" s="237" t="inlineStr">
        <is>
          <t>CNY</t>
        </is>
      </c>
      <c r="I71" s="238" t="n">
        <v>2120</v>
      </c>
      <c r="K71" s="238" t="n">
        <v>73576</v>
      </c>
      <c r="O71" s="237" t="inlineStr">
        <is>
          <t>Offering of Greater China Excom Learning Day (Chinese)</t>
        </is>
      </c>
      <c r="P71" s="246" t="n"/>
      <c r="Q71" s="246" t="n"/>
      <c r="R71" s="246" t="n"/>
      <c r="S71" s="246" t="n"/>
      <c r="T71" s="246" t="n"/>
      <c r="U71" s="246" t="n"/>
      <c r="V71" s="246" t="n"/>
      <c r="W71" s="246" t="n"/>
      <c r="X71" s="246" t="n"/>
      <c r="Y71" s="246" t="n"/>
      <c r="Z71" s="243" t="n">
        <v>19784</v>
      </c>
      <c r="AB71" s="244" t="inlineStr">
        <is>
          <t>3/17/2026</t>
        </is>
      </c>
      <c r="AC71" s="238" t="inlineStr">
        <is>
          <t>Rebecca Zeng</t>
        </is>
      </c>
    </row>
    <row r="72" ht="14" customFormat="1" customHeight="1" s="238">
      <c r="A72" s="237" t="n">
        <v>63</v>
      </c>
      <c r="B72" s="237" t="inlineStr">
        <is>
          <t>P6066</t>
        </is>
      </c>
      <c r="C72" s="237" t="inlineStr">
        <is>
          <t>SHAHD</t>
        </is>
      </c>
      <c r="E72" s="239" t="inlineStr">
        <is>
          <t>4/24/2026</t>
        </is>
      </c>
      <c r="F72" s="237" t="inlineStr">
        <is>
          <t>LMS Training</t>
        </is>
      </c>
      <c r="G72" s="237" t="inlineStr">
        <is>
          <t>Offering of Craft Training Certificate (Chinese)</t>
        </is>
      </c>
      <c r="H72" s="237" t="inlineStr">
        <is>
          <t>CNY</t>
        </is>
      </c>
      <c r="I72" s="238" t="n">
        <v>4240</v>
      </c>
      <c r="K72" s="238" t="n">
        <v>73576</v>
      </c>
      <c r="O72" s="237" t="inlineStr">
        <is>
          <t>Offering of Craft Training Certificate (Chinese)</t>
        </is>
      </c>
      <c r="P72" s="246" t="n"/>
      <c r="Q72" s="246" t="n"/>
      <c r="R72" s="246" t="n"/>
      <c r="S72" s="246" t="n"/>
      <c r="T72" s="246" t="n"/>
      <c r="U72" s="246" t="n"/>
      <c r="V72" s="246" t="n"/>
      <c r="W72" s="246" t="n"/>
      <c r="X72" s="246" t="n"/>
      <c r="Y72" s="246" t="n"/>
      <c r="Z72" s="243" t="n">
        <v>20033</v>
      </c>
      <c r="AB72" s="247" t="inlineStr">
        <is>
          <t>3/22/2026</t>
        </is>
      </c>
      <c r="AC72" s="238" t="inlineStr">
        <is>
          <t>Mark Zhang</t>
        </is>
      </c>
    </row>
    <row r="73" ht="14" customFormat="1" customHeight="1" s="238">
      <c r="A73" s="237" t="n">
        <v>64</v>
      </c>
      <c r="B73" s="237" t="inlineStr">
        <is>
          <t>P5016</t>
        </is>
      </c>
      <c r="C73" s="237" t="inlineStr">
        <is>
          <t>NHASB</t>
        </is>
      </c>
      <c r="E73" s="239" t="inlineStr">
        <is>
          <t>4/24/2026</t>
        </is>
      </c>
      <c r="F73" s="237" t="inlineStr">
        <is>
          <t>LMS Training</t>
        </is>
      </c>
      <c r="G73" s="237" t="inlineStr">
        <is>
          <t>Offering of IHG Way of Sales - Effective Sales Negotiations</t>
        </is>
      </c>
      <c r="H73" s="237" t="inlineStr">
        <is>
          <t>USD</t>
        </is>
      </c>
      <c r="I73" s="238" t="n">
        <v>375</v>
      </c>
      <c r="K73" s="238" t="n">
        <v>76615</v>
      </c>
      <c r="O73" s="237" t="inlineStr">
        <is>
          <t>Offering of IHG Way of Sales - Effective Sales Negotiations</t>
        </is>
      </c>
      <c r="P73" s="246" t="n"/>
      <c r="Q73" s="246" t="n"/>
      <c r="R73" s="246" t="n"/>
      <c r="S73" s="246" t="n"/>
      <c r="T73" s="246" t="n"/>
      <c r="U73" s="246" t="n"/>
      <c r="V73" s="246" t="n"/>
      <c r="W73" s="246" t="n"/>
      <c r="X73" s="246" t="n"/>
      <c r="Y73" s="246" t="n"/>
      <c r="Z73" s="243" t="n">
        <v>19709</v>
      </c>
      <c r="AB73" s="244" t="inlineStr">
        <is>
          <t>3/16/2026</t>
        </is>
      </c>
      <c r="AC73" s="238" t="inlineStr">
        <is>
          <t>Long Tran</t>
        </is>
      </c>
    </row>
    <row r="74" ht="14" customFormat="1" customHeight="1" s="238">
      <c r="A74" s="237" t="n">
        <v>65</v>
      </c>
      <c r="B74" s="237" t="inlineStr">
        <is>
          <t>P5016</t>
        </is>
      </c>
      <c r="C74" s="237" t="inlineStr">
        <is>
          <t>NHACO</t>
        </is>
      </c>
      <c r="E74" s="239" t="inlineStr">
        <is>
          <t>4/24/2026</t>
        </is>
      </c>
      <c r="F74" s="237" t="inlineStr">
        <is>
          <t>LMS Training</t>
        </is>
      </c>
      <c r="G74" s="237" t="inlineStr">
        <is>
          <t>Offering of IHG Way of Sales - Effective Sales Negotiations</t>
        </is>
      </c>
      <c r="H74" s="237" t="inlineStr">
        <is>
          <t>USD</t>
        </is>
      </c>
      <c r="I74" s="238" t="n">
        <v>375</v>
      </c>
      <c r="K74" s="238" t="n">
        <v>76615</v>
      </c>
      <c r="O74" s="237" t="inlineStr">
        <is>
          <t>Offering of IHG Way of Sales - Effective Sales Negotiations</t>
        </is>
      </c>
      <c r="P74" s="246" t="n"/>
      <c r="Q74" s="246" t="n"/>
      <c r="R74" s="246" t="n"/>
      <c r="S74" s="246" t="n"/>
      <c r="T74" s="246" t="n"/>
      <c r="U74" s="246" t="n"/>
      <c r="V74" s="246" t="n"/>
      <c r="W74" s="246" t="n"/>
      <c r="X74" s="246" t="n"/>
      <c r="Y74" s="246" t="n"/>
      <c r="Z74" s="243" t="n">
        <v>19349</v>
      </c>
      <c r="AB74" s="244" t="inlineStr">
        <is>
          <t>3/16/2026</t>
        </is>
      </c>
      <c r="AC74" s="238" t="inlineStr">
        <is>
          <t>Thu Mai</t>
        </is>
      </c>
    </row>
    <row r="75" ht="14" customFormat="1" customHeight="1" s="238">
      <c r="A75" s="237" t="n">
        <v>66</v>
      </c>
      <c r="B75" s="237" t="inlineStr">
        <is>
          <t>P6066</t>
        </is>
      </c>
      <c r="C75" s="237" t="inlineStr">
        <is>
          <t>HGHWL</t>
        </is>
      </c>
      <c r="E75" s="239" t="inlineStr">
        <is>
          <t>4/24/2026</t>
        </is>
      </c>
      <c r="F75" s="237" t="inlineStr">
        <is>
          <t>LMS Training</t>
        </is>
      </c>
      <c r="G75" s="237" t="inlineStr">
        <is>
          <t>Offering of Greater China Excom Learning Day (Chinese)</t>
        </is>
      </c>
      <c r="H75" s="237" t="inlineStr">
        <is>
          <t>CNY</t>
        </is>
      </c>
      <c r="I75" s="238" t="n">
        <v>2120</v>
      </c>
      <c r="K75" s="238" t="n">
        <v>73576</v>
      </c>
      <c r="O75" s="237" t="inlineStr">
        <is>
          <t>Offering of Greater China Excom Learning Day (Chinese)</t>
        </is>
      </c>
      <c r="P75" s="246" t="n"/>
      <c r="Q75" s="246" t="n"/>
      <c r="R75" s="246" t="n"/>
      <c r="S75" s="246" t="n"/>
      <c r="T75" s="246" t="n"/>
      <c r="U75" s="246" t="n"/>
      <c r="V75" s="246" t="n"/>
      <c r="W75" s="246" t="n"/>
      <c r="X75" s="246" t="n"/>
      <c r="Y75" s="246" t="n"/>
      <c r="Z75" s="243" t="n">
        <v>19783</v>
      </c>
      <c r="AB75" s="247" t="inlineStr">
        <is>
          <t>3/17/2026</t>
        </is>
      </c>
      <c r="AC75" s="238" t="inlineStr">
        <is>
          <t>Summer Jiang</t>
        </is>
      </c>
    </row>
    <row r="76" ht="14" customFormat="1" customHeight="1" s="238">
      <c r="A76" s="237" t="n">
        <v>67</v>
      </c>
      <c r="B76" s="237" t="inlineStr">
        <is>
          <t>P6066</t>
        </is>
      </c>
      <c r="C76" s="237" t="inlineStr">
        <is>
          <t>YNTGC</t>
        </is>
      </c>
      <c r="E76" s="239" t="inlineStr">
        <is>
          <t>4/24/2026</t>
        </is>
      </c>
      <c r="F76" s="237" t="inlineStr">
        <is>
          <t>LMS Training</t>
        </is>
      </c>
      <c r="G76" s="237" t="inlineStr">
        <is>
          <t>Offering of Group Training Certificate</t>
        </is>
      </c>
      <c r="H76" s="237" t="inlineStr">
        <is>
          <t>CNY</t>
        </is>
      </c>
      <c r="I76" s="238" t="n">
        <v>4240</v>
      </c>
      <c r="K76" s="238" t="n">
        <v>73576</v>
      </c>
      <c r="O76" s="237" t="inlineStr">
        <is>
          <t>Offering of Group Training Certificate</t>
        </is>
      </c>
      <c r="P76" s="246" t="n"/>
      <c r="Q76" s="246" t="n"/>
      <c r="R76" s="246" t="n"/>
      <c r="S76" s="246" t="n"/>
      <c r="T76" s="246" t="n"/>
      <c r="U76" s="246" t="n"/>
      <c r="V76" s="246" t="n"/>
      <c r="W76" s="246" t="n"/>
      <c r="X76" s="246" t="n"/>
      <c r="Y76" s="246" t="n"/>
      <c r="Z76" s="243" t="n">
        <v>20044</v>
      </c>
      <c r="AB76" s="247" t="inlineStr">
        <is>
          <t>3/24/2026</t>
        </is>
      </c>
      <c r="AC76" s="238" t="inlineStr">
        <is>
          <t>Crystal Zhang</t>
        </is>
      </c>
    </row>
    <row r="77" ht="14" customFormat="1" customHeight="1" s="238">
      <c r="A77" s="237" t="n">
        <v>68</v>
      </c>
      <c r="B77" s="237" t="inlineStr">
        <is>
          <t>P5016</t>
        </is>
      </c>
      <c r="C77" s="237" t="inlineStr">
        <is>
          <t>GEXCR</t>
        </is>
      </c>
      <c r="E77" s="239" t="inlineStr">
        <is>
          <t>4/24/2026</t>
        </is>
      </c>
      <c r="F77" s="237" t="inlineStr">
        <is>
          <t>LMS Training</t>
        </is>
      </c>
      <c r="G77" s="237" t="inlineStr">
        <is>
          <t>Learning Consultancy NHOP Training for Crowne Plaza Geelong</t>
        </is>
      </c>
      <c r="H77" s="237" t="inlineStr">
        <is>
          <t>USD</t>
        </is>
      </c>
      <c r="I77" s="238" t="n">
        <v>916</v>
      </c>
      <c r="K77" s="238" t="n">
        <v>70256</v>
      </c>
      <c r="O77" s="237" t="inlineStr">
        <is>
          <t>Learning Consultancy NHOP Training for Crowne Plaza Geelong</t>
        </is>
      </c>
      <c r="P77" s="246" t="n"/>
      <c r="Q77" s="246" t="n"/>
      <c r="R77" s="246" t="n"/>
      <c r="S77" s="246" t="n"/>
      <c r="T77" s="246" t="n"/>
      <c r="U77" s="246" t="n"/>
      <c r="V77" s="246" t="n"/>
      <c r="W77" s="246" t="n"/>
      <c r="X77" s="246" t="n"/>
      <c r="Y77" s="246" t="n"/>
      <c r="Z77" s="243" t="n">
        <v>20096</v>
      </c>
      <c r="AB77" s="244" t="inlineStr">
        <is>
          <t>4/9/2026</t>
        </is>
      </c>
      <c r="AC77" s="238" t="inlineStr">
        <is>
          <t>John Dickson</t>
        </is>
      </c>
    </row>
    <row r="78" ht="14" customFormat="1" customHeight="1" s="238">
      <c r="A78" s="237" t="n">
        <v>69</v>
      </c>
      <c r="B78" s="237" t="inlineStr">
        <is>
          <t>P5016</t>
        </is>
      </c>
      <c r="C78" s="237" t="inlineStr">
        <is>
          <t>DADHO</t>
        </is>
      </c>
      <c r="E78" s="239" t="inlineStr">
        <is>
          <t>4/24/2026</t>
        </is>
      </c>
      <c r="F78" s="237" t="inlineStr">
        <is>
          <t>LMS Training</t>
        </is>
      </c>
      <c r="G78" s="237" t="inlineStr">
        <is>
          <t>Offering of IHG Way of Sales - Effective Sales Negotiations</t>
        </is>
      </c>
      <c r="H78" s="237" t="inlineStr">
        <is>
          <t>USD</t>
        </is>
      </c>
      <c r="I78" s="238" t="n">
        <v>375</v>
      </c>
      <c r="K78" s="238" t="n">
        <v>76615</v>
      </c>
      <c r="O78" s="237" t="inlineStr">
        <is>
          <t>Offering of IHG Way of Sales - Effective Sales Negotiations</t>
        </is>
      </c>
      <c r="P78" s="246" t="n"/>
      <c r="Q78" s="246" t="n"/>
      <c r="R78" s="246" t="n"/>
      <c r="S78" s="246" t="n"/>
      <c r="T78" s="246" t="n"/>
      <c r="U78" s="246" t="n"/>
      <c r="V78" s="246" t="n"/>
      <c r="W78" s="246" t="n"/>
      <c r="X78" s="246" t="n"/>
      <c r="Y78" s="246" t="n"/>
      <c r="Z78" s="243" t="n">
        <v>19311</v>
      </c>
      <c r="AB78" s="244" t="inlineStr">
        <is>
          <t>3/16/2026</t>
        </is>
      </c>
      <c r="AC78" s="238" t="inlineStr">
        <is>
          <t>Liem Vu Tra Thanh</t>
        </is>
      </c>
    </row>
    <row r="79" ht="14" customFormat="1" customHeight="1" s="238">
      <c r="A79" s="237" t="n">
        <v>70</v>
      </c>
      <c r="B79" s="237" t="inlineStr">
        <is>
          <t>P5016</t>
        </is>
      </c>
      <c r="C79" s="237" t="inlineStr">
        <is>
          <t>SINOR</t>
        </is>
      </c>
      <c r="E79" s="239" t="inlineStr">
        <is>
          <t>4/24/2026</t>
        </is>
      </c>
      <c r="F79" s="237" t="inlineStr">
        <is>
          <t>LMS Training</t>
        </is>
      </c>
      <c r="G79" s="237" t="inlineStr">
        <is>
          <t>Optimizing Team Performance for Supervisors</t>
        </is>
      </c>
      <c r="H79" s="237" t="inlineStr">
        <is>
          <t>USD</t>
        </is>
      </c>
      <c r="I79" s="238" t="n">
        <v>60</v>
      </c>
      <c r="K79" s="238" t="n">
        <v>70256</v>
      </c>
      <c r="O79" s="237" t="inlineStr">
        <is>
          <t>Optimizing Team Performance for Supervisors</t>
        </is>
      </c>
      <c r="P79" s="246" t="n"/>
      <c r="Q79" s="246" t="n"/>
      <c r="R79" s="246" t="n"/>
      <c r="S79" s="246" t="n"/>
      <c r="T79" s="246" t="n"/>
      <c r="U79" s="246" t="n"/>
      <c r="V79" s="246" t="n"/>
      <c r="W79" s="246" t="n"/>
      <c r="X79" s="246" t="n"/>
      <c r="Y79" s="246" t="n"/>
      <c r="Z79" s="243" t="n">
        <v>19389</v>
      </c>
      <c r="AB79" s="247" t="n">
        <v/>
      </c>
      <c r="AC79" s="238" t="inlineStr">
        <is>
          <t>WONG ZHUANGSENG</t>
        </is>
      </c>
    </row>
    <row r="80" ht="14" customFormat="1" customHeight="1" s="238">
      <c r="A80" s="237" t="n">
        <v>71</v>
      </c>
      <c r="B80" s="237" t="inlineStr">
        <is>
          <t>P6022</t>
        </is>
      </c>
      <c r="C80" s="237" t="inlineStr">
        <is>
          <t>SGNET</t>
        </is>
      </c>
      <c r="E80" s="239" t="inlineStr">
        <is>
          <t>4/24/2026</t>
        </is>
      </c>
      <c r="F80" s="237" t="inlineStr">
        <is>
          <t>LMS Training</t>
        </is>
      </c>
      <c r="G80" s="237" t="inlineStr">
        <is>
          <t>Learning Consultancy NHOP Training for Managed hotel  RÃªve Hochiminh city, Vignette collection</t>
        </is>
      </c>
      <c r="H80" s="237" t="inlineStr">
        <is>
          <t>USD</t>
        </is>
      </c>
      <c r="I80" s="238" t="n">
        <v>546.47</v>
      </c>
      <c r="K80" s="238" t="n">
        <v>73168</v>
      </c>
      <c r="O80" s="237" t="inlineStr">
        <is>
          <t>Learning Consultancy NHOP Training for Managed hotel  RÃªve Hochiminh city, Vignette collection</t>
        </is>
      </c>
      <c r="P80" s="246" t="n"/>
      <c r="Q80" s="246" t="n"/>
      <c r="R80" s="246" t="n"/>
      <c r="S80" s="246" t="n"/>
      <c r="T80" s="246" t="n"/>
      <c r="U80" s="246" t="n"/>
      <c r="V80" s="246" t="n"/>
      <c r="W80" s="246" t="n"/>
      <c r="X80" s="246" t="n"/>
      <c r="Y80" s="246" t="n"/>
      <c r="Z80" s="243" t="n">
        <v>20093</v>
      </c>
      <c r="AB80" s="244" t="inlineStr">
        <is>
          <t>4/9/2026</t>
        </is>
      </c>
      <c r="AC80" s="238" t="inlineStr">
        <is>
          <t>Thao Nguyen</t>
        </is>
      </c>
    </row>
    <row r="81" ht="14" customFormat="1" customHeight="1" s="238">
      <c r="A81" s="237" t="n">
        <v>72</v>
      </c>
      <c r="B81" s="237" t="inlineStr">
        <is>
          <t>P6066</t>
        </is>
      </c>
      <c r="C81" s="237" t="inlineStr">
        <is>
          <t>MFMCP</t>
        </is>
      </c>
      <c r="E81" s="239" t="inlineStr">
        <is>
          <t>4/24/2026</t>
        </is>
      </c>
      <c r="F81" s="237" t="inlineStr">
        <is>
          <t>LMS Training</t>
        </is>
      </c>
      <c r="G81" s="237" t="inlineStr">
        <is>
          <t>Offering of Craft Training Certificate (Chinese)</t>
        </is>
      </c>
      <c r="H81" s="237" t="inlineStr">
        <is>
          <t>USD</t>
        </is>
      </c>
      <c r="I81" s="238" t="n">
        <v>750</v>
      </c>
      <c r="K81" s="238" t="n">
        <v>73576</v>
      </c>
      <c r="O81" s="237" t="inlineStr">
        <is>
          <t>Offering of Craft Training Certificate (Chinese)</t>
        </is>
      </c>
      <c r="P81" s="246" t="n"/>
      <c r="Q81" s="246" t="n"/>
      <c r="R81" s="246" t="n"/>
      <c r="S81" s="246" t="n"/>
      <c r="T81" s="246" t="n"/>
      <c r="U81" s="246" t="n"/>
      <c r="V81" s="246" t="n"/>
      <c r="W81" s="246" t="n"/>
      <c r="X81" s="246" t="n"/>
      <c r="Y81" s="246" t="n"/>
      <c r="Z81" s="243" t="n">
        <v>20034</v>
      </c>
      <c r="AB81" s="247" t="inlineStr">
        <is>
          <t>3/22/2026</t>
        </is>
      </c>
      <c r="AC81" s="238" t="inlineStr">
        <is>
          <t>Leong Hoi In Elaine</t>
        </is>
      </c>
    </row>
    <row r="82" ht="14" customFormat="1" customHeight="1" s="238">
      <c r="A82" s="237" t="n">
        <v>73</v>
      </c>
      <c r="B82" s="237" t="inlineStr">
        <is>
          <t>P6066</t>
        </is>
      </c>
      <c r="C82" s="237" t="inlineStr">
        <is>
          <t>YIHRY</t>
        </is>
      </c>
      <c r="E82" s="239" t="inlineStr">
        <is>
          <t>4/24/2026</t>
        </is>
      </c>
      <c r="F82" s="237" t="inlineStr">
        <is>
          <t>LMS Training</t>
        </is>
      </c>
      <c r="G82" s="237" t="inlineStr">
        <is>
          <t>Offering of Greater China Excom Learning Day (Chinese)</t>
        </is>
      </c>
      <c r="H82" s="237" t="inlineStr">
        <is>
          <t>CNY</t>
        </is>
      </c>
      <c r="I82" s="238" t="n">
        <v>2120</v>
      </c>
      <c r="K82" s="238" t="n">
        <v>73576</v>
      </c>
      <c r="O82" s="237" t="inlineStr">
        <is>
          <t>Offering of Greater China Excom Learning Day (Chinese)</t>
        </is>
      </c>
      <c r="P82" s="246" t="n"/>
      <c r="Q82" s="246" t="n"/>
      <c r="R82" s="246" t="n"/>
      <c r="S82" s="246" t="n"/>
      <c r="T82" s="246" t="n"/>
      <c r="U82" s="246" t="n"/>
      <c r="V82" s="246" t="n"/>
      <c r="W82" s="246" t="n"/>
      <c r="X82" s="246" t="n"/>
      <c r="Y82" s="246" t="n"/>
      <c r="Z82" s="243" t="n">
        <v>19772</v>
      </c>
      <c r="AB82" s="244" t="inlineStr">
        <is>
          <t>3/17/2026</t>
        </is>
      </c>
      <c r="AC82" s="238" t="inlineStr">
        <is>
          <t>Angelina Zheng</t>
        </is>
      </c>
    </row>
    <row r="83" ht="14" customFormat="1" customHeight="1" s="238">
      <c r="A83" s="237" t="n">
        <v>74</v>
      </c>
      <c r="B83" s="237" t="inlineStr">
        <is>
          <t>P5016</t>
        </is>
      </c>
      <c r="C83" s="237" t="inlineStr">
        <is>
          <t>USMKM</t>
        </is>
      </c>
      <c r="E83" s="239" t="inlineStr">
        <is>
          <t>4/24/2026</t>
        </is>
      </c>
      <c r="F83" s="237" t="inlineStr">
        <is>
          <t>LMS Training</t>
        </is>
      </c>
      <c r="G83" s="237" t="inlineStr">
        <is>
          <t>Offering of IHG Concerto - Rates &amp; Inventory</t>
        </is>
      </c>
      <c r="H83" s="237" t="inlineStr">
        <is>
          <t>USD</t>
        </is>
      </c>
      <c r="I83" s="238" t="n">
        <v>100</v>
      </c>
      <c r="K83" s="238" t="n">
        <v>76615</v>
      </c>
      <c r="O83" s="237" t="inlineStr">
        <is>
          <t>Offering of IHG Concerto - Rates &amp; Inventory</t>
        </is>
      </c>
      <c r="P83" s="246" t="n"/>
      <c r="Q83" s="246" t="n"/>
      <c r="R83" s="246" t="n"/>
      <c r="S83" s="246" t="n"/>
      <c r="T83" s="246" t="n"/>
      <c r="U83" s="246" t="n"/>
      <c r="V83" s="246" t="n"/>
      <c r="W83" s="246" t="n"/>
      <c r="X83" s="246" t="n"/>
      <c r="Y83" s="246" t="n"/>
      <c r="Z83" s="243" t="n">
        <v>154537394</v>
      </c>
      <c r="AB83" s="247" t="inlineStr">
        <is>
          <t>4/7/2026</t>
        </is>
      </c>
      <c r="AC83" s="238" t="inlineStr">
        <is>
          <t>Natchawi Poophueng</t>
        </is>
      </c>
    </row>
    <row r="84" ht="14" customFormat="1" customHeight="1" s="238">
      <c r="A84" s="237" t="n">
        <v>75</v>
      </c>
      <c r="B84" s="237" t="inlineStr">
        <is>
          <t>P5016</t>
        </is>
      </c>
      <c r="C84" s="237" t="inlineStr">
        <is>
          <t>SINCP</t>
        </is>
      </c>
      <c r="E84" s="239" t="inlineStr">
        <is>
          <t>4/24/2026</t>
        </is>
      </c>
      <c r="F84" s="237" t="inlineStr">
        <is>
          <t>LMS Training</t>
        </is>
      </c>
      <c r="G84" s="237" t="inlineStr">
        <is>
          <t>Change Management for Supervisors</t>
        </is>
      </c>
      <c r="H84" s="237" t="inlineStr">
        <is>
          <t>USD</t>
        </is>
      </c>
      <c r="I84" s="238" t="n">
        <v>60</v>
      </c>
      <c r="K84" s="238" t="n">
        <v>70256</v>
      </c>
      <c r="O84" s="237" t="inlineStr">
        <is>
          <t>Change Management for Supervisors</t>
        </is>
      </c>
      <c r="P84" s="246" t="n"/>
      <c r="Q84" s="246" t="n"/>
      <c r="R84" s="246" t="n"/>
      <c r="S84" s="246" t="n"/>
      <c r="T84" s="246" t="n"/>
      <c r="U84" s="246" t="n"/>
      <c r="V84" s="246" t="n"/>
      <c r="W84" s="246" t="n"/>
      <c r="X84" s="246" t="n"/>
      <c r="Y84" s="246" t="n"/>
      <c r="Z84" s="243" t="n">
        <v>19916</v>
      </c>
      <c r="AB84" s="244" t="n">
        <v/>
      </c>
      <c r="AC84" s="238" t="inlineStr">
        <is>
          <t>Thi Thu Trang Nguyen</t>
        </is>
      </c>
    </row>
    <row r="85" ht="14" customFormat="1" customHeight="1" s="238">
      <c r="A85" s="237" t="n">
        <v>76</v>
      </c>
      <c r="B85" s="237" t="inlineStr">
        <is>
          <t>P5016</t>
        </is>
      </c>
      <c r="C85" s="237" t="inlineStr">
        <is>
          <t>BKKIN</t>
        </is>
      </c>
      <c r="E85" s="239" t="inlineStr">
        <is>
          <t>4/24/2026</t>
        </is>
      </c>
      <c r="F85" s="237" t="inlineStr">
        <is>
          <t>LMS Training</t>
        </is>
      </c>
      <c r="G85" s="237" t="inlineStr">
        <is>
          <t>Offering of IHG Way of Sales - Effective Sales Negotiations</t>
        </is>
      </c>
      <c r="H85" s="237" t="inlineStr">
        <is>
          <t>USD</t>
        </is>
      </c>
      <c r="I85" s="238" t="n">
        <v>375</v>
      </c>
      <c r="K85" s="238" t="n">
        <v>76615</v>
      </c>
      <c r="O85" s="237" t="inlineStr">
        <is>
          <t>Offering of IHG Way of Sales - Effective Sales Negotiations</t>
        </is>
      </c>
      <c r="P85" s="246" t="n"/>
      <c r="Q85" s="246" t="n"/>
      <c r="R85" s="246" t="n"/>
      <c r="S85" s="246" t="n"/>
      <c r="T85" s="246" t="n"/>
      <c r="U85" s="246" t="n"/>
      <c r="V85" s="246" t="n"/>
      <c r="W85" s="246" t="n"/>
      <c r="X85" s="246" t="n"/>
      <c r="Y85" s="246" t="n"/>
      <c r="Z85" s="243" t="n">
        <v>19284</v>
      </c>
      <c r="AB85" s="244" t="inlineStr">
        <is>
          <t>3/25/2026</t>
        </is>
      </c>
      <c r="AC85" s="238" t="inlineStr">
        <is>
          <t>Palida Jumpolmueang</t>
        </is>
      </c>
    </row>
    <row r="86" ht="14" customFormat="1" customHeight="1" s="238">
      <c r="A86" s="237" t="n">
        <v>77</v>
      </c>
      <c r="B86" s="237" t="inlineStr">
        <is>
          <t>P5016</t>
        </is>
      </c>
      <c r="C86" s="237" t="inlineStr">
        <is>
          <t>SINHI</t>
        </is>
      </c>
      <c r="E86" s="239" t="inlineStr">
        <is>
          <t>4/24/2026</t>
        </is>
      </c>
      <c r="F86" s="237" t="inlineStr">
        <is>
          <t>LMS Training</t>
        </is>
      </c>
      <c r="G86" s="237" t="inlineStr">
        <is>
          <t>Change Management for Supervisors</t>
        </is>
      </c>
      <c r="H86" s="237" t="inlineStr">
        <is>
          <t>USD</t>
        </is>
      </c>
      <c r="I86" s="238" t="n">
        <v>60</v>
      </c>
      <c r="K86" s="238" t="n">
        <v>70256</v>
      </c>
      <c r="O86" s="237" t="inlineStr">
        <is>
          <t>Change Management for Supervisors</t>
        </is>
      </c>
      <c r="P86" s="246" t="n"/>
      <c r="Q86" s="246" t="n"/>
      <c r="R86" s="246" t="n"/>
      <c r="S86" s="246" t="n"/>
      <c r="T86" s="246" t="n"/>
      <c r="U86" s="246" t="n"/>
      <c r="V86" s="246" t="n"/>
      <c r="W86" s="246" t="n"/>
      <c r="X86" s="246" t="n"/>
      <c r="Y86" s="246" t="n"/>
      <c r="Z86" s="243" t="n">
        <v>19660</v>
      </c>
      <c r="AB86" s="244" t="n">
        <v/>
      </c>
      <c r="AC86" s="238" t="inlineStr">
        <is>
          <t>Looshini Subramaniam</t>
        </is>
      </c>
    </row>
    <row r="87" ht="14" customFormat="1" customHeight="1" s="238">
      <c r="A87" s="237" t="n">
        <v>78</v>
      </c>
      <c r="B87" s="237" t="inlineStr">
        <is>
          <t>P6066</t>
        </is>
      </c>
      <c r="C87" s="237" t="inlineStr">
        <is>
          <t>WUHEZ</t>
        </is>
      </c>
      <c r="E87" s="239" t="inlineStr">
        <is>
          <t>4/24/2026</t>
        </is>
      </c>
      <c r="F87" s="237" t="inlineStr">
        <is>
          <t>LMS Training</t>
        </is>
      </c>
      <c r="G87" s="237" t="inlineStr">
        <is>
          <t>Offering of Group Training Certificate</t>
        </is>
      </c>
      <c r="H87" s="237" t="inlineStr">
        <is>
          <t>CNY</t>
        </is>
      </c>
      <c r="I87" s="238" t="n">
        <v>4240</v>
      </c>
      <c r="K87" s="238" t="n">
        <v>73576</v>
      </c>
      <c r="O87" s="237" t="inlineStr">
        <is>
          <t>Offering of Group Training Certificate</t>
        </is>
      </c>
      <c r="P87" s="246" t="n"/>
      <c r="Q87" s="246" t="n"/>
      <c r="R87" s="246" t="n"/>
      <c r="S87" s="246" t="n"/>
      <c r="T87" s="246" t="n"/>
      <c r="U87" s="246" t="n"/>
      <c r="V87" s="246" t="n"/>
      <c r="W87" s="246" t="n"/>
      <c r="X87" s="246" t="n"/>
      <c r="Y87" s="246" t="n"/>
      <c r="Z87" s="243" t="n">
        <v>20042</v>
      </c>
      <c r="AB87" s="244" t="inlineStr">
        <is>
          <t>3/24/2026</t>
        </is>
      </c>
      <c r="AC87" s="238" t="inlineStr">
        <is>
          <t>Carol Wang</t>
        </is>
      </c>
    </row>
    <row r="88" ht="14" customFormat="1" customHeight="1" s="238">
      <c r="A88" s="237" t="n">
        <v>79</v>
      </c>
      <c r="B88" s="237" t="inlineStr">
        <is>
          <t>P5016</t>
        </is>
      </c>
      <c r="C88" s="237" t="inlineStr">
        <is>
          <t>NHACH</t>
        </is>
      </c>
      <c r="E88" s="239" t="inlineStr">
        <is>
          <t>4/24/2026</t>
        </is>
      </c>
      <c r="F88" s="237" t="inlineStr">
        <is>
          <t>LMS Training</t>
        </is>
      </c>
      <c r="G88" s="237" t="inlineStr">
        <is>
          <t>Offering of IHG Way of Sales - Effective Sales Negotiations</t>
        </is>
      </c>
      <c r="H88" s="238" t="inlineStr">
        <is>
          <t>USD</t>
        </is>
      </c>
      <c r="I88" s="238" t="n">
        <v>375</v>
      </c>
      <c r="K88" s="238" t="n">
        <v>76615</v>
      </c>
      <c r="O88" s="237" t="inlineStr">
        <is>
          <t>Offering of IHG Way of Sales - Effective Sales Negotiations</t>
        </is>
      </c>
      <c r="P88" s="246" t="n"/>
      <c r="Q88" s="246" t="n"/>
      <c r="R88" s="246" t="n"/>
      <c r="S88" s="246" t="n"/>
      <c r="T88" s="246" t="n"/>
      <c r="U88" s="246" t="n"/>
      <c r="V88" s="246" t="n"/>
      <c r="W88" s="246" t="n"/>
      <c r="X88" s="246" t="n"/>
      <c r="Y88" s="246" t="n"/>
      <c r="Z88" s="243" t="n">
        <v>19348</v>
      </c>
      <c r="AB88" s="247" t="inlineStr">
        <is>
          <t>3/16/2026</t>
        </is>
      </c>
      <c r="AC88" s="238" t="inlineStr">
        <is>
          <t>Nhi Nguyen Nu Thuc</t>
        </is>
      </c>
    </row>
    <row r="89" ht="14" customFormat="1" customHeight="1" s="238">
      <c r="A89" s="237" t="n">
        <v>80</v>
      </c>
      <c r="B89" s="237" t="inlineStr">
        <is>
          <t>P5016</t>
        </is>
      </c>
      <c r="C89" s="237" t="inlineStr">
        <is>
          <t>BKKPP</t>
        </is>
      </c>
      <c r="E89" s="239" t="inlineStr">
        <is>
          <t>4/24/2026</t>
        </is>
      </c>
      <c r="F89" s="237" t="inlineStr">
        <is>
          <t>LMS Training</t>
        </is>
      </c>
      <c r="G89" s="237" t="inlineStr">
        <is>
          <t>Offering of IHG Way of Sales - Effective Sales Negotiations</t>
        </is>
      </c>
      <c r="H89" s="238" t="inlineStr">
        <is>
          <t>USD</t>
        </is>
      </c>
      <c r="I89" s="238" t="n">
        <v>375</v>
      </c>
      <c r="K89" s="238" t="n">
        <v>76615</v>
      </c>
      <c r="O89" s="237" t="inlineStr">
        <is>
          <t>Offering of IHG Way of Sales - Effective Sales Negotiations</t>
        </is>
      </c>
      <c r="P89" s="246" t="n"/>
      <c r="Q89" s="246" t="n"/>
      <c r="R89" s="246" t="n"/>
      <c r="S89" s="246" t="n"/>
      <c r="T89" s="246" t="n"/>
      <c r="U89" s="246" t="n"/>
      <c r="V89" s="246" t="n"/>
      <c r="W89" s="246" t="n"/>
      <c r="X89" s="246" t="n"/>
      <c r="Y89" s="246" t="n"/>
      <c r="Z89" s="243" t="n">
        <v>19207</v>
      </c>
      <c r="AB89" s="244" t="inlineStr">
        <is>
          <t>3/25/2026</t>
        </is>
      </c>
      <c r="AC89" s="238" t="inlineStr">
        <is>
          <t>Chanya Hemphoom</t>
        </is>
      </c>
    </row>
    <row r="90" ht="14" customFormat="1" customHeight="1" s="238">
      <c r="A90" s="237" t="n">
        <v>81</v>
      </c>
      <c r="B90" s="237" t="inlineStr">
        <is>
          <t>P5016</t>
        </is>
      </c>
      <c r="C90" s="237" t="inlineStr">
        <is>
          <t>DADCC</t>
        </is>
      </c>
      <c r="E90" s="239" t="inlineStr">
        <is>
          <t>4/24/2026</t>
        </is>
      </c>
      <c r="F90" s="237" t="inlineStr">
        <is>
          <t>LMS Training</t>
        </is>
      </c>
      <c r="G90" s="237" t="inlineStr">
        <is>
          <t>Offering of IHG Way of Sales - Effective Sales Negotiations</t>
        </is>
      </c>
      <c r="H90" s="238" t="inlineStr">
        <is>
          <t>USD</t>
        </is>
      </c>
      <c r="I90" s="238" t="n">
        <v>375</v>
      </c>
      <c r="K90" s="238" t="n">
        <v>76615</v>
      </c>
      <c r="O90" s="237" t="inlineStr">
        <is>
          <t>Offering of IHG Way of Sales - Effective Sales Negotiations</t>
        </is>
      </c>
      <c r="P90" s="246" t="n"/>
      <c r="Q90" s="246" t="n"/>
      <c r="R90" s="246" t="n"/>
      <c r="S90" s="246" t="n"/>
      <c r="T90" s="246" t="n"/>
      <c r="U90" s="246" t="n"/>
      <c r="V90" s="246" t="n"/>
      <c r="W90" s="246" t="n"/>
      <c r="X90" s="246" t="n"/>
      <c r="Y90" s="246" t="n"/>
      <c r="Z90" s="243" t="n">
        <v>19316</v>
      </c>
      <c r="AB90" s="247" t="inlineStr">
        <is>
          <t>3/16/2026</t>
        </is>
      </c>
      <c r="AC90" s="238" t="inlineStr">
        <is>
          <t>Nga Nguyen</t>
        </is>
      </c>
    </row>
    <row r="91" ht="14" customFormat="1" customHeight="1" s="238">
      <c r="A91" s="237" t="n">
        <v>82</v>
      </c>
      <c r="B91" s="237" t="inlineStr">
        <is>
          <t>P5016</t>
        </is>
      </c>
      <c r="C91" s="237" t="inlineStr">
        <is>
          <t>MNLBA</t>
        </is>
      </c>
      <c r="E91" s="239" t="inlineStr">
        <is>
          <t>4/24/2026</t>
        </is>
      </c>
      <c r="F91" s="237" t="inlineStr">
        <is>
          <t>LMS Training</t>
        </is>
      </c>
      <c r="G91" s="237" t="inlineStr">
        <is>
          <t>Change Management for Supervisors</t>
        </is>
      </c>
      <c r="H91" s="238" t="inlineStr">
        <is>
          <t>USD</t>
        </is>
      </c>
      <c r="I91" s="238" t="n">
        <v>30</v>
      </c>
      <c r="K91" s="238" t="n">
        <v>70256</v>
      </c>
      <c r="O91" s="237" t="inlineStr">
        <is>
          <t>Change Management for Supervisors</t>
        </is>
      </c>
      <c r="P91" s="246" t="n"/>
      <c r="Q91" s="246" t="n"/>
      <c r="R91" s="246" t="n"/>
      <c r="S91" s="246" t="n"/>
      <c r="T91" s="246" t="n"/>
      <c r="U91" s="246" t="n"/>
      <c r="V91" s="246" t="n"/>
      <c r="W91" s="246" t="n"/>
      <c r="X91" s="246" t="n"/>
      <c r="Y91" s="246" t="n"/>
      <c r="Z91" s="243" t="n">
        <v>19694</v>
      </c>
      <c r="AB91" s="247" t="n">
        <v/>
      </c>
      <c r="AC91" s="238" t="inlineStr">
        <is>
          <t>Randy Capule</t>
        </is>
      </c>
    </row>
    <row r="92" ht="14" customFormat="1" customHeight="1" s="238">
      <c r="A92" s="237" t="n">
        <v>83</v>
      </c>
      <c r="B92" s="237" t="inlineStr">
        <is>
          <t>P5016</t>
        </is>
      </c>
      <c r="C92" s="237" t="inlineStr">
        <is>
          <t>SINOR</t>
        </is>
      </c>
      <c r="E92" s="239" t="inlineStr">
        <is>
          <t>4/24/2026</t>
        </is>
      </c>
      <c r="F92" s="237" t="inlineStr">
        <is>
          <t>LMS Training</t>
        </is>
      </c>
      <c r="G92" s="237" t="inlineStr">
        <is>
          <t>Change Management for Supervisors</t>
        </is>
      </c>
      <c r="H92" s="238" t="inlineStr">
        <is>
          <t>USD</t>
        </is>
      </c>
      <c r="I92" s="238" t="n">
        <v>60</v>
      </c>
      <c r="K92" s="238" t="n">
        <v>70256</v>
      </c>
      <c r="O92" s="237" t="inlineStr">
        <is>
          <t>Change Management for Supervisors</t>
        </is>
      </c>
      <c r="P92" s="246" t="n"/>
      <c r="Q92" s="246" t="n"/>
      <c r="R92" s="246" t="n"/>
      <c r="S92" s="246" t="n"/>
      <c r="T92" s="246" t="n"/>
      <c r="U92" s="246" t="n"/>
      <c r="V92" s="246" t="n"/>
      <c r="W92" s="246" t="n"/>
      <c r="X92" s="246" t="n"/>
      <c r="Y92" s="246" t="n"/>
      <c r="Z92" s="243" t="n">
        <v>19928</v>
      </c>
      <c r="AB92" s="244" t="n">
        <v/>
      </c>
      <c r="AC92" s="238" t="inlineStr">
        <is>
          <t>Ying Zhuang Yap</t>
        </is>
      </c>
    </row>
    <row r="93" ht="14" customFormat="1" customHeight="1" s="238">
      <c r="A93" s="237" t="n">
        <v>84</v>
      </c>
      <c r="B93" s="237" t="inlineStr">
        <is>
          <t>P5016</t>
        </is>
      </c>
      <c r="C93" s="237" t="inlineStr">
        <is>
          <t>SPKJA</t>
        </is>
      </c>
      <c r="E93" s="239" t="inlineStr">
        <is>
          <t>4/24/2026</t>
        </is>
      </c>
      <c r="F93" s="237" t="inlineStr">
        <is>
          <t>LMS Training</t>
        </is>
      </c>
      <c r="G93" s="237" t="inlineStr">
        <is>
          <t>Setting Goals and Managing Resources for Supervisors</t>
        </is>
      </c>
      <c r="H93" s="238" t="inlineStr">
        <is>
          <t>USD</t>
        </is>
      </c>
      <c r="I93" s="238" t="n">
        <v>60</v>
      </c>
      <c r="K93" s="238" t="n">
        <v>70256</v>
      </c>
      <c r="O93" s="237" t="inlineStr">
        <is>
          <t>Setting Goals and Managing Resources for Supervisors</t>
        </is>
      </c>
      <c r="P93" s="246" t="n"/>
      <c r="Q93" s="246" t="n"/>
      <c r="R93" s="246" t="n"/>
      <c r="S93" s="246" t="n"/>
      <c r="T93" s="246" t="n"/>
      <c r="U93" s="246" t="n"/>
      <c r="V93" s="246" t="n"/>
      <c r="W93" s="246" t="n"/>
      <c r="X93" s="246" t="n"/>
      <c r="Y93" s="246" t="n"/>
      <c r="Z93" s="243" t="n">
        <v>19965</v>
      </c>
      <c r="AB93" s="244" t="n">
        <v/>
      </c>
      <c r="AC93" s="238" t="inlineStr">
        <is>
          <t>Nobuko Komatsu</t>
        </is>
      </c>
    </row>
    <row r="94" ht="14" customFormat="1" customHeight="1" s="238">
      <c r="A94" s="237" t="n">
        <v>85</v>
      </c>
      <c r="B94" s="237" t="inlineStr">
        <is>
          <t>P5016</t>
        </is>
      </c>
      <c r="C94" s="237" t="inlineStr">
        <is>
          <t>SINOR</t>
        </is>
      </c>
      <c r="E94" s="239" t="inlineStr">
        <is>
          <t>4/24/2026</t>
        </is>
      </c>
      <c r="F94" s="237" t="inlineStr">
        <is>
          <t>LMS Training</t>
        </is>
      </c>
      <c r="G94" s="237" t="inlineStr">
        <is>
          <t>Change Management for Supervisors</t>
        </is>
      </c>
      <c r="H94" s="238" t="inlineStr">
        <is>
          <t>USD</t>
        </is>
      </c>
      <c r="I94" s="238" t="n">
        <v>60</v>
      </c>
      <c r="K94" s="238" t="n">
        <v>70256</v>
      </c>
      <c r="O94" s="237" t="inlineStr">
        <is>
          <t>Change Management for Supervisors</t>
        </is>
      </c>
      <c r="P94" s="246" t="n"/>
      <c r="Q94" s="246" t="n"/>
      <c r="R94" s="246" t="n"/>
      <c r="S94" s="246" t="n"/>
      <c r="T94" s="246" t="n"/>
      <c r="U94" s="246" t="n"/>
      <c r="V94" s="246" t="n"/>
      <c r="W94" s="246" t="n"/>
      <c r="X94" s="246" t="n"/>
      <c r="Y94" s="246" t="n"/>
      <c r="Z94" s="243" t="n">
        <v>19944</v>
      </c>
      <c r="AB94" s="247" t="n">
        <v/>
      </c>
      <c r="AC94" s="238" t="inlineStr">
        <is>
          <t>Madhan Sudhagar</t>
        </is>
      </c>
    </row>
    <row r="95" ht="14" customFormat="1" customHeight="1" s="238">
      <c r="A95" s="237" t="n">
        <v>86</v>
      </c>
      <c r="B95" s="237" t="inlineStr">
        <is>
          <t>P6066</t>
        </is>
      </c>
      <c r="C95" s="237" t="inlineStr">
        <is>
          <t>HFESS</t>
        </is>
      </c>
      <c r="E95" s="239" t="inlineStr">
        <is>
          <t>4/24/2026</t>
        </is>
      </c>
      <c r="F95" s="237" t="inlineStr">
        <is>
          <t>LMS Training</t>
        </is>
      </c>
      <c r="G95" s="237" t="inlineStr">
        <is>
          <t>Offering of Group Training Certificate</t>
        </is>
      </c>
      <c r="H95" s="238" t="inlineStr">
        <is>
          <t>CNY</t>
        </is>
      </c>
      <c r="I95" s="238" t="n">
        <v>4240</v>
      </c>
      <c r="K95" s="238" t="n">
        <v>73576</v>
      </c>
      <c r="O95" s="237" t="inlineStr">
        <is>
          <t>Offering of Group Training Certificate</t>
        </is>
      </c>
      <c r="P95" s="246" t="n"/>
      <c r="Q95" s="246" t="n"/>
      <c r="R95" s="246" t="n"/>
      <c r="S95" s="246" t="n"/>
      <c r="T95" s="246" t="n"/>
      <c r="U95" s="246" t="n"/>
      <c r="V95" s="246" t="n"/>
      <c r="W95" s="246" t="n"/>
      <c r="X95" s="246" t="n"/>
      <c r="Y95" s="246" t="n"/>
      <c r="Z95" s="243" t="n">
        <v>20045</v>
      </c>
      <c r="AB95" s="247" t="inlineStr">
        <is>
          <t>3/24/2026</t>
        </is>
      </c>
      <c r="AC95" s="238" t="inlineStr">
        <is>
          <t>Leif Zhao</t>
        </is>
      </c>
    </row>
    <row r="96" ht="14" customFormat="1" customHeight="1" s="238">
      <c r="A96" s="237" t="n">
        <v>87</v>
      </c>
      <c r="B96" s="237" t="inlineStr">
        <is>
          <t>P6066</t>
        </is>
      </c>
      <c r="C96" s="237" t="inlineStr">
        <is>
          <t>WUXHA</t>
        </is>
      </c>
      <c r="E96" s="239" t="inlineStr">
        <is>
          <t>4/24/2026</t>
        </is>
      </c>
      <c r="F96" s="237" t="inlineStr">
        <is>
          <t>LMS Training</t>
        </is>
      </c>
      <c r="G96" s="237" t="inlineStr">
        <is>
          <t>Offering of Greater China Excom Learning Day (Chinese)</t>
        </is>
      </c>
      <c r="H96" s="238" t="inlineStr">
        <is>
          <t>CNY</t>
        </is>
      </c>
      <c r="I96" s="238" t="n">
        <v>2120</v>
      </c>
      <c r="K96" s="238" t="n">
        <v>73576</v>
      </c>
      <c r="O96" s="237" t="inlineStr">
        <is>
          <t>Offering of Greater China Excom Learning Day (Chinese)</t>
        </is>
      </c>
      <c r="P96" s="246" t="n"/>
      <c r="Q96" s="246" t="n"/>
      <c r="R96" s="246" t="n"/>
      <c r="S96" s="246" t="n"/>
      <c r="T96" s="246" t="n"/>
      <c r="U96" s="246" t="n"/>
      <c r="V96" s="246" t="n"/>
      <c r="W96" s="246" t="n"/>
      <c r="X96" s="246" t="n"/>
      <c r="Y96" s="246" t="n"/>
      <c r="Z96" s="243" t="n">
        <v>19782</v>
      </c>
      <c r="AB96" s="244" t="inlineStr">
        <is>
          <t>3/17/2026</t>
        </is>
      </c>
      <c r="AC96" s="238" t="inlineStr">
        <is>
          <t>Jack shen</t>
        </is>
      </c>
    </row>
    <row r="97" ht="14" customFormat="1" customHeight="1" s="238">
      <c r="A97" s="237" t="n">
        <v>88</v>
      </c>
      <c r="B97" s="237" t="inlineStr">
        <is>
          <t>P5016</t>
        </is>
      </c>
      <c r="C97" s="237" t="inlineStr">
        <is>
          <t>BKKLS</t>
        </is>
      </c>
      <c r="E97" s="239" t="inlineStr">
        <is>
          <t>4/24/2026</t>
        </is>
      </c>
      <c r="F97" s="237" t="inlineStr">
        <is>
          <t>LMS Training</t>
        </is>
      </c>
      <c r="G97" s="237" t="inlineStr">
        <is>
          <t>Offering of IHG Way of Sales - Effective Sales Negotiations</t>
        </is>
      </c>
      <c r="H97" s="238" t="inlineStr">
        <is>
          <t>USD</t>
        </is>
      </c>
      <c r="I97" s="238" t="n">
        <v>375</v>
      </c>
      <c r="K97" s="238" t="n">
        <v>76615</v>
      </c>
      <c r="O97" s="237" t="inlineStr">
        <is>
          <t>Offering of IHG Way of Sales - Effective Sales Negotiations</t>
        </is>
      </c>
      <c r="P97" s="246" t="n"/>
      <c r="Q97" s="246" t="n"/>
      <c r="R97" s="246" t="n"/>
      <c r="S97" s="246" t="n"/>
      <c r="T97" s="246" t="n"/>
      <c r="U97" s="246" t="n"/>
      <c r="V97" s="246" t="n"/>
      <c r="W97" s="246" t="n"/>
      <c r="X97" s="246" t="n"/>
      <c r="Y97" s="246" t="n"/>
      <c r="Z97" s="243" t="n">
        <v>19294</v>
      </c>
      <c r="AB97" s="244" t="inlineStr">
        <is>
          <t>3/25/2026</t>
        </is>
      </c>
      <c r="AC97" s="238" t="inlineStr">
        <is>
          <t>Paralee Wonghanchai</t>
        </is>
      </c>
    </row>
    <row r="98" ht="14" customFormat="1" customHeight="1" s="238">
      <c r="A98" s="237" t="n">
        <v>89</v>
      </c>
      <c r="B98" s="237" t="inlineStr">
        <is>
          <t>P5016</t>
        </is>
      </c>
      <c r="C98" s="237" t="inlineStr">
        <is>
          <t>DADHA</t>
        </is>
      </c>
      <c r="E98" s="239" t="inlineStr">
        <is>
          <t>4/24/2026</t>
        </is>
      </c>
      <c r="F98" s="237" t="inlineStr">
        <is>
          <t>LMS Training</t>
        </is>
      </c>
      <c r="G98" s="237" t="inlineStr">
        <is>
          <t>Offering of IHG Way of Sales - Effective Sales Negotiations</t>
        </is>
      </c>
      <c r="H98" s="238" t="inlineStr">
        <is>
          <t>USD</t>
        </is>
      </c>
      <c r="I98" s="238" t="n">
        <v>375</v>
      </c>
      <c r="K98" s="238" t="n">
        <v>76615</v>
      </c>
      <c r="O98" s="237" t="inlineStr">
        <is>
          <t>Offering of IHG Way of Sales - Effective Sales Negotiations</t>
        </is>
      </c>
      <c r="P98" s="246" t="n"/>
      <c r="Q98" s="246" t="n"/>
      <c r="R98" s="246" t="n"/>
      <c r="S98" s="246" t="n"/>
      <c r="T98" s="246" t="n"/>
      <c r="U98" s="246" t="n"/>
      <c r="V98" s="246" t="n"/>
      <c r="W98" s="246" t="n"/>
      <c r="X98" s="246" t="n"/>
      <c r="Y98" s="246" t="n"/>
      <c r="Z98" s="243" t="n">
        <v>19638</v>
      </c>
      <c r="AB98" s="247" t="inlineStr">
        <is>
          <t>3/16/2026</t>
        </is>
      </c>
      <c r="AC98" s="238" t="inlineStr">
        <is>
          <t>Lien Nguyen</t>
        </is>
      </c>
    </row>
    <row r="99" ht="14" customFormat="1" customHeight="1" s="238">
      <c r="A99" s="237" t="n">
        <v>90</v>
      </c>
      <c r="B99" s="237" t="inlineStr">
        <is>
          <t>P5016</t>
        </is>
      </c>
      <c r="C99" s="237" t="inlineStr">
        <is>
          <t>SINOR</t>
        </is>
      </c>
      <c r="E99" s="239" t="inlineStr">
        <is>
          <t>4/24/2026</t>
        </is>
      </c>
      <c r="F99" s="237" t="inlineStr">
        <is>
          <t>LMS Training</t>
        </is>
      </c>
      <c r="G99" s="237" t="inlineStr">
        <is>
          <t>Change Management for Supervisors</t>
        </is>
      </c>
      <c r="H99" s="238" t="inlineStr">
        <is>
          <t>USD</t>
        </is>
      </c>
      <c r="I99" s="238" t="n">
        <v>60</v>
      </c>
      <c r="K99" s="238" t="n">
        <v>70256</v>
      </c>
      <c r="O99" s="237" t="inlineStr">
        <is>
          <t>Change Management for Supervisors</t>
        </is>
      </c>
      <c r="P99" s="246" t="n"/>
      <c r="Q99" s="246" t="n"/>
      <c r="R99" s="246" t="n"/>
      <c r="S99" s="246" t="n"/>
      <c r="T99" s="246" t="n"/>
      <c r="U99" s="246" t="n"/>
      <c r="V99" s="246" t="n"/>
      <c r="W99" s="246" t="n"/>
      <c r="X99" s="246" t="n"/>
      <c r="Y99" s="246" t="n"/>
      <c r="Z99" s="243" t="n">
        <v>19909</v>
      </c>
      <c r="AB99" s="244" t="n">
        <v/>
      </c>
      <c r="AC99" s="238" t="inlineStr">
        <is>
          <t>Karma A</t>
        </is>
      </c>
    </row>
    <row r="100" ht="14" customFormat="1" customHeight="1" s="238">
      <c r="A100" s="237" t="n">
        <v>91</v>
      </c>
      <c r="B100" s="237" t="inlineStr">
        <is>
          <t>P6066</t>
        </is>
      </c>
      <c r="C100" s="237" t="inlineStr">
        <is>
          <t>SHASC</t>
        </is>
      </c>
      <c r="E100" s="239" t="inlineStr">
        <is>
          <t>4/24/2026</t>
        </is>
      </c>
      <c r="F100" s="237" t="inlineStr">
        <is>
          <t>LMS Training</t>
        </is>
      </c>
      <c r="G100" s="237" t="inlineStr">
        <is>
          <t>Offering of Greater China Excom Learning Day (Chinese)</t>
        </is>
      </c>
      <c r="H100" s="238" t="inlineStr">
        <is>
          <t>CNY</t>
        </is>
      </c>
      <c r="I100" s="238" t="n">
        <v>2120</v>
      </c>
      <c r="K100" s="238" t="n">
        <v>73576</v>
      </c>
      <c r="O100" s="237" t="inlineStr">
        <is>
          <t>Offering of Greater China Excom Learning Day (Chinese)</t>
        </is>
      </c>
      <c r="P100" s="246" t="n"/>
      <c r="Q100" s="246" t="n"/>
      <c r="R100" s="246" t="n"/>
      <c r="S100" s="246" t="n"/>
      <c r="T100" s="246" t="n"/>
      <c r="U100" s="246" t="n"/>
      <c r="V100" s="246" t="n"/>
      <c r="W100" s="246" t="n"/>
      <c r="X100" s="246" t="n"/>
      <c r="Y100" s="246" t="n"/>
      <c r="Z100" s="243" t="n">
        <v>19771</v>
      </c>
      <c r="AB100" s="244" t="inlineStr">
        <is>
          <t>3/17/2026</t>
        </is>
      </c>
      <c r="AC100" s="238" t="inlineStr">
        <is>
          <t>Russell Yuan</t>
        </is>
      </c>
    </row>
    <row r="101" ht="14" customFormat="1" customHeight="1" s="238">
      <c r="A101" s="237" t="n">
        <v>92</v>
      </c>
      <c r="B101" s="237" t="inlineStr">
        <is>
          <t>P5016</t>
        </is>
      </c>
      <c r="C101" s="237" t="inlineStr">
        <is>
          <t>SINHI</t>
        </is>
      </c>
      <c r="E101" s="239" t="inlineStr">
        <is>
          <t>4/24/2026</t>
        </is>
      </c>
      <c r="F101" s="237" t="inlineStr">
        <is>
          <t>LMS Training</t>
        </is>
      </c>
      <c r="G101" s="237" t="inlineStr">
        <is>
          <t>Change Management for Supervisors</t>
        </is>
      </c>
      <c r="H101" s="238" t="inlineStr">
        <is>
          <t>USD</t>
        </is>
      </c>
      <c r="I101" s="238" t="n">
        <v>60</v>
      </c>
      <c r="K101" s="238" t="n">
        <v>70256</v>
      </c>
      <c r="O101" s="237" t="inlineStr">
        <is>
          <t>Change Management for Supervisors</t>
        </is>
      </c>
      <c r="P101" s="246" t="n"/>
      <c r="Q101" s="246" t="n"/>
      <c r="R101" s="246" t="n"/>
      <c r="S101" s="246" t="n"/>
      <c r="T101" s="246" t="n"/>
      <c r="U101" s="246" t="n"/>
      <c r="V101" s="246" t="n"/>
      <c r="W101" s="246" t="n"/>
      <c r="X101" s="246" t="n"/>
      <c r="Y101" s="246" t="n"/>
      <c r="Z101" s="243" t="n">
        <v>19941</v>
      </c>
      <c r="AB101" s="247" t="n">
        <v/>
      </c>
      <c r="AC101" s="238" t="inlineStr">
        <is>
          <t>Wendy Cai</t>
        </is>
      </c>
    </row>
    <row r="102" ht="14" customFormat="1" customHeight="1" s="238">
      <c r="A102" s="237" t="n">
        <v>93</v>
      </c>
      <c r="B102" s="237" t="inlineStr">
        <is>
          <t>P6066</t>
        </is>
      </c>
      <c r="C102" s="237" t="inlineStr">
        <is>
          <t>HFEHA</t>
        </is>
      </c>
      <c r="E102" s="239" t="inlineStr">
        <is>
          <t>4/24/2026</t>
        </is>
      </c>
      <c r="F102" s="237" t="inlineStr">
        <is>
          <t>LMS Training</t>
        </is>
      </c>
      <c r="G102" s="237" t="inlineStr">
        <is>
          <t>Offering of Training Needs Diagnosis (Lead Business-Driven Training) (Chinese)</t>
        </is>
      </c>
      <c r="H102" s="238" t="inlineStr">
        <is>
          <t>CNY</t>
        </is>
      </c>
      <c r="I102" s="238" t="n">
        <v>2120</v>
      </c>
      <c r="K102" s="238" t="n">
        <v>73576</v>
      </c>
      <c r="O102" s="237" t="inlineStr">
        <is>
          <t>Offering of Training Needs Diagnosis (Lead Business-Driven Training) (Chinese)</t>
        </is>
      </c>
      <c r="P102" s="246" t="n"/>
      <c r="Q102" s="246" t="n"/>
      <c r="R102" s="246" t="n"/>
      <c r="S102" s="246" t="n"/>
      <c r="T102" s="246" t="n"/>
      <c r="U102" s="246" t="n"/>
      <c r="V102" s="246" t="n"/>
      <c r="W102" s="246" t="n"/>
      <c r="X102" s="246" t="n"/>
      <c r="Y102" s="246" t="n"/>
      <c r="Z102" s="243" t="n">
        <v>20053</v>
      </c>
      <c r="AB102" s="244" t="inlineStr">
        <is>
          <t>3/26/2026</t>
        </is>
      </c>
      <c r="AC102" s="238" t="inlineStr">
        <is>
          <t>vivian wang</t>
        </is>
      </c>
    </row>
    <row r="103" ht="14" customFormat="1" customHeight="1" s="238">
      <c r="A103" s="237" t="n">
        <v>94</v>
      </c>
      <c r="B103" s="237" t="inlineStr">
        <is>
          <t>P6066</t>
        </is>
      </c>
      <c r="C103" s="237" t="inlineStr">
        <is>
          <t>MFMCP</t>
        </is>
      </c>
      <c r="E103" s="239" t="inlineStr">
        <is>
          <t>4/24/2026</t>
        </is>
      </c>
      <c r="F103" s="237" t="inlineStr">
        <is>
          <t>LMS Training</t>
        </is>
      </c>
      <c r="G103" s="237" t="inlineStr">
        <is>
          <t>Offering of Training Needs Diagnosis (Lead Business-Driven Training) (Chinese)</t>
        </is>
      </c>
      <c r="H103" s="238" t="inlineStr">
        <is>
          <t>USD</t>
        </is>
      </c>
      <c r="I103" s="238" t="n">
        <v>375</v>
      </c>
      <c r="K103" s="238" t="n">
        <v>73576</v>
      </c>
      <c r="O103" s="237" t="inlineStr">
        <is>
          <t>Offering of Training Needs Diagnosis (Lead Business-Driven Training) (Chinese)</t>
        </is>
      </c>
      <c r="P103" s="246" t="n"/>
      <c r="Q103" s="246" t="n"/>
      <c r="R103" s="246" t="n"/>
      <c r="S103" s="246" t="n"/>
      <c r="T103" s="246" t="n"/>
      <c r="U103" s="246" t="n"/>
      <c r="V103" s="246" t="n"/>
      <c r="W103" s="246" t="n"/>
      <c r="X103" s="246" t="n"/>
      <c r="Y103" s="246" t="n"/>
      <c r="Z103" s="243" t="n">
        <v>20055</v>
      </c>
      <c r="AB103" s="244" t="inlineStr">
        <is>
          <t>3/26/2026</t>
        </is>
      </c>
      <c r="AC103" s="238" t="inlineStr">
        <is>
          <t>Leong Hoi In Elaine</t>
        </is>
      </c>
    </row>
    <row r="104" ht="14" customFormat="1" customHeight="1" s="238">
      <c r="A104" s="237" t="n">
        <v>95</v>
      </c>
      <c r="B104" s="237" t="inlineStr">
        <is>
          <t>P5016</t>
        </is>
      </c>
      <c r="C104" s="237" t="inlineStr">
        <is>
          <t>SINOR</t>
        </is>
      </c>
      <c r="E104" s="239" t="inlineStr">
        <is>
          <t>4/24/2026</t>
        </is>
      </c>
      <c r="F104" s="237" t="inlineStr">
        <is>
          <t>LMS Training</t>
        </is>
      </c>
      <c r="G104" s="237" t="inlineStr">
        <is>
          <t>Change Management for Supervisors</t>
        </is>
      </c>
      <c r="H104" s="238" t="inlineStr">
        <is>
          <t>USD</t>
        </is>
      </c>
      <c r="I104" s="238" t="n">
        <v>60</v>
      </c>
      <c r="K104" s="238" t="n">
        <v>70256</v>
      </c>
      <c r="O104" s="237" t="inlineStr">
        <is>
          <t>Change Management for Supervisors</t>
        </is>
      </c>
      <c r="P104" s="246" t="n"/>
      <c r="Q104" s="246" t="n"/>
      <c r="R104" s="246" t="n"/>
      <c r="S104" s="246" t="n"/>
      <c r="T104" s="246" t="n"/>
      <c r="U104" s="246" t="n"/>
      <c r="V104" s="246" t="n"/>
      <c r="W104" s="246" t="n"/>
      <c r="X104" s="246" t="n"/>
      <c r="Y104" s="246" t="n"/>
      <c r="Z104" s="243" t="n">
        <v>19387</v>
      </c>
      <c r="AB104" s="244" t="n">
        <v/>
      </c>
      <c r="AC104" s="238" t="inlineStr">
        <is>
          <t>WONG ZHUANGSENG</t>
        </is>
      </c>
    </row>
    <row r="105" ht="14" customFormat="1" customHeight="1" s="238">
      <c r="A105" s="237" t="n">
        <v>96</v>
      </c>
      <c r="B105" s="237" t="inlineStr">
        <is>
          <t>P5016</t>
        </is>
      </c>
      <c r="C105" s="237" t="inlineStr">
        <is>
          <t>PYXHA</t>
        </is>
      </c>
      <c r="E105" s="239" t="inlineStr">
        <is>
          <t>4/24/2026</t>
        </is>
      </c>
      <c r="F105" s="237" t="inlineStr">
        <is>
          <t>LMS Training</t>
        </is>
      </c>
      <c r="G105" s="237" t="inlineStr">
        <is>
          <t>Offering of IHG Way of Sales - Effective Sales Negotiations</t>
        </is>
      </c>
      <c r="H105" s="238" t="inlineStr">
        <is>
          <t>USD</t>
        </is>
      </c>
      <c r="I105" s="238" t="n">
        <v>375</v>
      </c>
      <c r="K105" s="238" t="n">
        <v>76615</v>
      </c>
      <c r="O105" s="237" t="inlineStr">
        <is>
          <t>Offering of IHG Way of Sales - Effective Sales Negotiations</t>
        </is>
      </c>
      <c r="P105" s="246" t="n"/>
      <c r="Q105" s="246" t="n"/>
      <c r="R105" s="246" t="n"/>
      <c r="S105" s="246" t="n"/>
      <c r="T105" s="246" t="n"/>
      <c r="U105" s="246" t="n"/>
      <c r="V105" s="246" t="n"/>
      <c r="W105" s="246" t="n"/>
      <c r="X105" s="246" t="n"/>
      <c r="Y105" s="246" t="n"/>
      <c r="Z105" s="243" t="n">
        <v>19229</v>
      </c>
      <c r="AB105" s="244" t="inlineStr">
        <is>
          <t>3/25/2026</t>
        </is>
      </c>
      <c r="AC105" s="238" t="inlineStr">
        <is>
          <t>Nutthapon Saechee</t>
        </is>
      </c>
    </row>
    <row r="106" ht="14" customFormat="1" customHeight="1" s="238">
      <c r="A106" s="237" t="n">
        <v>97</v>
      </c>
      <c r="B106" s="237" t="inlineStr">
        <is>
          <t>P5016</t>
        </is>
      </c>
      <c r="C106" s="237" t="inlineStr">
        <is>
          <t>BKKHB</t>
        </is>
      </c>
      <c r="E106" s="239" t="inlineStr">
        <is>
          <t>4/24/2026</t>
        </is>
      </c>
      <c r="F106" s="237" t="inlineStr">
        <is>
          <t>LMS Training</t>
        </is>
      </c>
      <c r="G106" s="237" t="inlineStr">
        <is>
          <t>Optimizing Team Performance for Supervisors</t>
        </is>
      </c>
      <c r="H106" s="238" t="inlineStr">
        <is>
          <t>USD</t>
        </is>
      </c>
      <c r="I106" s="238" t="n">
        <v>30</v>
      </c>
      <c r="K106" s="238" t="n">
        <v>70256</v>
      </c>
      <c r="O106" s="237" t="inlineStr">
        <is>
          <t>Optimizing Team Performance for Supervisors</t>
        </is>
      </c>
      <c r="P106" s="246" t="n"/>
      <c r="Q106" s="246" t="n"/>
      <c r="R106" s="246" t="n"/>
      <c r="S106" s="246" t="n"/>
      <c r="T106" s="246" t="n"/>
      <c r="U106" s="246" t="n"/>
      <c r="V106" s="246" t="n"/>
      <c r="W106" s="246" t="n"/>
      <c r="X106" s="246" t="n"/>
      <c r="Y106" s="246" t="n"/>
      <c r="Z106" s="243" t="n">
        <v>19339</v>
      </c>
      <c r="AB106" s="244" t="n">
        <v/>
      </c>
      <c r="AC106" s="238" t="inlineStr">
        <is>
          <t>Angkana Jittikul</t>
        </is>
      </c>
    </row>
    <row r="107" ht="14" customFormat="1" customHeight="1" s="238">
      <c r="A107" s="237" t="n">
        <v>98</v>
      </c>
      <c r="B107" s="237" t="inlineStr">
        <is>
          <t>P5016</t>
        </is>
      </c>
      <c r="C107" s="237" t="inlineStr">
        <is>
          <t>MNLBA</t>
        </is>
      </c>
      <c r="E107" s="239" t="inlineStr">
        <is>
          <t>4/24/2026</t>
        </is>
      </c>
      <c r="F107" s="237" t="inlineStr">
        <is>
          <t>LMS Training</t>
        </is>
      </c>
      <c r="G107" s="237" t="inlineStr">
        <is>
          <t>Change Management for Supervisors</t>
        </is>
      </c>
      <c r="H107" s="238" t="inlineStr">
        <is>
          <t>USD</t>
        </is>
      </c>
      <c r="I107" s="238" t="n">
        <v>30</v>
      </c>
      <c r="K107" s="238" t="n">
        <v>70256</v>
      </c>
      <c r="O107" s="237" t="inlineStr">
        <is>
          <t>Change Management for Supervisors</t>
        </is>
      </c>
      <c r="P107" s="246" t="n"/>
      <c r="Q107" s="246" t="n"/>
      <c r="R107" s="246" t="n"/>
      <c r="S107" s="246" t="n"/>
      <c r="T107" s="246" t="n"/>
      <c r="U107" s="246" t="n"/>
      <c r="V107" s="246" t="n"/>
      <c r="W107" s="246" t="n"/>
      <c r="X107" s="246" t="n"/>
      <c r="Y107" s="246" t="n"/>
      <c r="Z107" s="243" t="n">
        <v>19711</v>
      </c>
      <c r="AB107" s="244" t="n">
        <v/>
      </c>
      <c r="AC107" s="238" t="inlineStr">
        <is>
          <t>Princess Aira Aguila</t>
        </is>
      </c>
    </row>
    <row r="108" ht="14" customFormat="1" customHeight="1" s="238">
      <c r="A108" s="237" t="n">
        <v>99</v>
      </c>
      <c r="B108" s="237" t="inlineStr">
        <is>
          <t>P6066</t>
        </is>
      </c>
      <c r="C108" s="237" t="inlineStr">
        <is>
          <t>SZVJL</t>
        </is>
      </c>
      <c r="E108" s="239" t="inlineStr">
        <is>
          <t>4/24/2026</t>
        </is>
      </c>
      <c r="F108" s="237" t="inlineStr">
        <is>
          <t>LMS Training</t>
        </is>
      </c>
      <c r="G108" s="237" t="inlineStr">
        <is>
          <t>Offering of Craft Training Certificate (Chinese)</t>
        </is>
      </c>
      <c r="H108" s="238" t="inlineStr">
        <is>
          <t>CNY</t>
        </is>
      </c>
      <c r="I108" s="238" t="n">
        <v>4240</v>
      </c>
      <c r="K108" s="238" t="n">
        <v>73576</v>
      </c>
      <c r="O108" s="237" t="inlineStr">
        <is>
          <t>Offering of Craft Training Certificate (Chinese)</t>
        </is>
      </c>
      <c r="P108" s="246" t="n"/>
      <c r="Q108" s="246" t="n"/>
      <c r="R108" s="246" t="n"/>
      <c r="S108" s="246" t="n"/>
      <c r="T108" s="246" t="n"/>
      <c r="U108" s="246" t="n"/>
      <c r="V108" s="246" t="n"/>
      <c r="W108" s="246" t="n"/>
      <c r="X108" s="246" t="n"/>
      <c r="Y108" s="246" t="n"/>
      <c r="Z108" s="243" t="n">
        <v>20037</v>
      </c>
      <c r="AB108" s="247" t="inlineStr">
        <is>
          <t>3/22/2026</t>
        </is>
      </c>
      <c r="AC108" s="238" t="inlineStr">
        <is>
          <t>Celine Chen</t>
        </is>
      </c>
    </row>
    <row r="109" ht="14" customFormat="1" customHeight="1" s="238">
      <c r="A109" s="237" t="n">
        <v>100</v>
      </c>
      <c r="B109" s="237" t="inlineStr">
        <is>
          <t>P6066</t>
        </is>
      </c>
      <c r="C109" s="237" t="inlineStr">
        <is>
          <t>HGHHB</t>
        </is>
      </c>
      <c r="E109" s="239" t="inlineStr">
        <is>
          <t>4/24/2026</t>
        </is>
      </c>
      <c r="F109" s="237" t="inlineStr">
        <is>
          <t>LMS Training</t>
        </is>
      </c>
      <c r="G109" s="237" t="inlineStr">
        <is>
          <t>Offering of Group Training Certificate</t>
        </is>
      </c>
      <c r="H109" s="238" t="inlineStr">
        <is>
          <t>CNY</t>
        </is>
      </c>
      <c r="I109" s="238" t="n">
        <v>4240</v>
      </c>
      <c r="K109" s="238" t="n">
        <v>73576</v>
      </c>
      <c r="O109" s="237" t="inlineStr">
        <is>
          <t>Offering of Group Training Certificate</t>
        </is>
      </c>
      <c r="P109" s="246" t="n"/>
      <c r="Q109" s="246" t="n"/>
      <c r="R109" s="246" t="n"/>
      <c r="S109" s="246" t="n"/>
      <c r="T109" s="246" t="n"/>
      <c r="U109" s="246" t="n"/>
      <c r="V109" s="246" t="n"/>
      <c r="W109" s="246" t="n"/>
      <c r="X109" s="246" t="n"/>
      <c r="Y109" s="246" t="n"/>
      <c r="Z109" s="243" t="n">
        <v>20043</v>
      </c>
      <c r="AB109" s="244" t="inlineStr">
        <is>
          <t>3/24/2026</t>
        </is>
      </c>
      <c r="AC109" s="238" t="inlineStr">
        <is>
          <t>fu xuemei</t>
        </is>
      </c>
    </row>
    <row r="110" ht="14" customFormat="1" customHeight="1" s="238">
      <c r="A110" s="237" t="n">
        <v>101</v>
      </c>
      <c r="B110" s="237" t="inlineStr">
        <is>
          <t>P6066</t>
        </is>
      </c>
      <c r="C110" s="237" t="inlineStr">
        <is>
          <t>YIHRY</t>
        </is>
      </c>
      <c r="E110" s="239" t="inlineStr">
        <is>
          <t>4/24/2026</t>
        </is>
      </c>
      <c r="F110" s="237" t="inlineStr">
        <is>
          <t>LMS Training</t>
        </is>
      </c>
      <c r="G110" s="237" t="inlineStr">
        <is>
          <t>Offering of Greater China Excom Learning Day (Chinese)</t>
        </is>
      </c>
      <c r="H110" s="238" t="inlineStr">
        <is>
          <t>CNY</t>
        </is>
      </c>
      <c r="I110" s="238" t="n">
        <v>2120</v>
      </c>
      <c r="K110" s="238" t="n">
        <v>73576</v>
      </c>
      <c r="O110" s="237" t="inlineStr">
        <is>
          <t>Offering of Greater China Excom Learning Day (Chinese)</t>
        </is>
      </c>
      <c r="P110" s="246" t="n"/>
      <c r="Q110" s="246" t="n"/>
      <c r="R110" s="246" t="n"/>
      <c r="S110" s="246" t="n"/>
      <c r="T110" s="246" t="n"/>
      <c r="U110" s="246" t="n"/>
      <c r="V110" s="246" t="n"/>
      <c r="W110" s="246" t="n"/>
      <c r="X110" s="246" t="n"/>
      <c r="Y110" s="246" t="n"/>
      <c r="Z110" s="243" t="n">
        <v>19769</v>
      </c>
      <c r="AB110" s="244" t="inlineStr">
        <is>
          <t>3/17/2026</t>
        </is>
      </c>
      <c r="AC110" s="238" t="inlineStr">
        <is>
          <t>Bella Deng</t>
        </is>
      </c>
    </row>
    <row r="111" ht="14" customFormat="1" customHeight="1" s="238">
      <c r="A111" s="237" t="n">
        <v>102</v>
      </c>
      <c r="B111" s="237" t="inlineStr">
        <is>
          <t>P6066</t>
        </is>
      </c>
      <c r="C111" s="237" t="inlineStr">
        <is>
          <t>SZVJL</t>
        </is>
      </c>
      <c r="E111" s="239" t="inlineStr">
        <is>
          <t>4/24/2026</t>
        </is>
      </c>
      <c r="F111" s="237" t="inlineStr">
        <is>
          <t>LMS Training</t>
        </is>
      </c>
      <c r="G111" s="237" t="inlineStr">
        <is>
          <t>Offering of Greater China Excom Learning Day (Chinese)</t>
        </is>
      </c>
      <c r="H111" s="238" t="inlineStr">
        <is>
          <t>CNY</t>
        </is>
      </c>
      <c r="I111" s="238" t="n">
        <v>2120</v>
      </c>
      <c r="K111" s="238" t="n">
        <v>73576</v>
      </c>
      <c r="O111" s="237" t="inlineStr">
        <is>
          <t>Offering of Greater China Excom Learning Day (Chinese)</t>
        </is>
      </c>
      <c r="P111" s="246" t="n"/>
      <c r="Q111" s="246" t="n"/>
      <c r="R111" s="246" t="n"/>
      <c r="S111" s="246" t="n"/>
      <c r="T111" s="246" t="n"/>
      <c r="U111" s="246" t="n"/>
      <c r="V111" s="246" t="n"/>
      <c r="W111" s="246" t="n"/>
      <c r="X111" s="246" t="n"/>
      <c r="Y111" s="246" t="n"/>
      <c r="Z111" s="243" t="n">
        <v>19774</v>
      </c>
      <c r="AB111" s="247" t="inlineStr">
        <is>
          <t>3/17/2026</t>
        </is>
      </c>
      <c r="AC111" s="238" t="inlineStr">
        <is>
          <t>Yvonne Zhang</t>
        </is>
      </c>
    </row>
    <row r="112" ht="14" customFormat="1" customHeight="1" s="238">
      <c r="A112" s="237" t="n">
        <v>103</v>
      </c>
      <c r="B112" s="237" t="inlineStr">
        <is>
          <t>P6066</t>
        </is>
      </c>
      <c r="C112" s="237" t="inlineStr">
        <is>
          <t>SZVJL</t>
        </is>
      </c>
      <c r="E112" s="239" t="inlineStr">
        <is>
          <t>4/24/2026</t>
        </is>
      </c>
      <c r="F112" s="237" t="inlineStr">
        <is>
          <t>LMS Training</t>
        </is>
      </c>
      <c r="G112" s="237" t="inlineStr">
        <is>
          <t>Offering of Greater China Excom Learning Day (Chinese)</t>
        </is>
      </c>
      <c r="H112" s="238" t="inlineStr">
        <is>
          <t>CNY</t>
        </is>
      </c>
      <c r="I112" s="238" t="n">
        <v>2120</v>
      </c>
      <c r="K112" s="238" t="n">
        <v>73576</v>
      </c>
      <c r="O112" s="237" t="inlineStr">
        <is>
          <t>Offering of Greater China Excom Learning Day (Chinese)</t>
        </is>
      </c>
      <c r="P112" s="246" t="n"/>
      <c r="Q112" s="246" t="n"/>
      <c r="R112" s="246" t="n"/>
      <c r="S112" s="246" t="n"/>
      <c r="T112" s="246" t="n"/>
      <c r="U112" s="246" t="n"/>
      <c r="V112" s="246" t="n"/>
      <c r="W112" s="246" t="n"/>
      <c r="X112" s="246" t="n"/>
      <c r="Y112" s="246" t="n"/>
      <c r="Z112" s="243" t="n">
        <v>19773</v>
      </c>
      <c r="AB112" s="244" t="inlineStr">
        <is>
          <t>3/17/2026</t>
        </is>
      </c>
      <c r="AC112" s="238" t="inlineStr">
        <is>
          <t>Win Yang</t>
        </is>
      </c>
    </row>
    <row r="113" ht="14" customFormat="1" customHeight="1" s="238">
      <c r="A113" s="237" t="n">
        <v>104</v>
      </c>
      <c r="B113" s="237" t="inlineStr">
        <is>
          <t>P6066</t>
        </is>
      </c>
      <c r="C113" s="237" t="inlineStr">
        <is>
          <t>YNTGC</t>
        </is>
      </c>
      <c r="E113" s="239" t="inlineStr">
        <is>
          <t>4/24/2026</t>
        </is>
      </c>
      <c r="F113" s="237" t="inlineStr">
        <is>
          <t>LMS Training</t>
        </is>
      </c>
      <c r="G113" s="237" t="inlineStr">
        <is>
          <t>Offering of Greater China Excom Learning Day (Chinese)</t>
        </is>
      </c>
      <c r="H113" s="238" t="inlineStr">
        <is>
          <t>CNY</t>
        </is>
      </c>
      <c r="I113" s="238" t="n">
        <v>2120</v>
      </c>
      <c r="K113" s="238" t="n">
        <v>73576</v>
      </c>
      <c r="O113" s="237" t="inlineStr">
        <is>
          <t>Offering of Greater China Excom Learning Day (Chinese)</t>
        </is>
      </c>
      <c r="P113" s="246" t="n"/>
      <c r="Q113" s="246" t="n"/>
      <c r="R113" s="246" t="n"/>
      <c r="S113" s="246" t="n"/>
      <c r="T113" s="246" t="n"/>
      <c r="U113" s="246" t="n"/>
      <c r="V113" s="246" t="n"/>
      <c r="W113" s="246" t="n"/>
      <c r="X113" s="246" t="n"/>
      <c r="Y113" s="246" t="n"/>
      <c r="Z113" s="243" t="n">
        <v>19781</v>
      </c>
      <c r="AB113" s="244" t="inlineStr">
        <is>
          <t>3/17/2026</t>
        </is>
      </c>
      <c r="AC113" s="238" t="inlineStr">
        <is>
          <t>Freya Fang</t>
        </is>
      </c>
    </row>
    <row r="114" ht="14" customFormat="1" customHeight="1" s="237">
      <c r="A114" s="237" t="n">
        <v>105</v>
      </c>
      <c r="B114" s="237" t="inlineStr">
        <is>
          <t>P5016</t>
        </is>
      </c>
      <c r="C114" s="237" t="inlineStr">
        <is>
          <t>MELCN</t>
        </is>
      </c>
      <c r="E114" s="239" t="inlineStr">
        <is>
          <t>4/24/2026</t>
        </is>
      </c>
      <c r="F114" s="237" t="inlineStr">
        <is>
          <t>LMS Training</t>
        </is>
      </c>
      <c r="G114" s="237" t="inlineStr">
        <is>
          <t>Learning Consultancy NHOP Training for Crowne Plaza Carlton</t>
        </is>
      </c>
      <c r="H114" s="237" t="inlineStr">
        <is>
          <t>USD</t>
        </is>
      </c>
      <c r="I114" s="237" t="n">
        <v>818</v>
      </c>
      <c r="K114" s="237" t="n">
        <v>70256</v>
      </c>
      <c r="O114" s="237" t="inlineStr">
        <is>
          <t>Learning Consultancy NHOP Training for Crowne Plaza Carlton</t>
        </is>
      </c>
      <c r="Z114" s="240" t="n">
        <v>20098</v>
      </c>
      <c r="AB114" s="245" t="inlineStr">
        <is>
          <t>4/9/2026</t>
        </is>
      </c>
      <c r="AC114" s="237" t="inlineStr">
        <is>
          <t>Anne Marie Lennon</t>
        </is>
      </c>
    </row>
    <row r="115" ht="14" customFormat="1" customHeight="1" s="237">
      <c r="A115" s="237" t="n">
        <v>106</v>
      </c>
      <c r="B115" s="237" t="inlineStr">
        <is>
          <t>P6066</t>
        </is>
      </c>
      <c r="C115" s="237" t="inlineStr">
        <is>
          <t>SHAKP</t>
        </is>
      </c>
      <c r="E115" s="239" t="inlineStr">
        <is>
          <t>4/24/2026</t>
        </is>
      </c>
      <c r="F115" s="237" t="inlineStr">
        <is>
          <t>LMS Training</t>
        </is>
      </c>
      <c r="G115" s="237" t="inlineStr">
        <is>
          <t>Offering of Training Needs Diagnosis (Lead Business-Driven Training) (Chinese)</t>
        </is>
      </c>
      <c r="H115" s="237" t="inlineStr">
        <is>
          <t>CNY</t>
        </is>
      </c>
      <c r="I115" s="237" t="n">
        <v>2120</v>
      </c>
      <c r="K115" s="237" t="n">
        <v>73576</v>
      </c>
      <c r="O115" s="237" t="inlineStr">
        <is>
          <t>Offering of Training Needs Diagnosis (Lead Business-Driven Training) (Chinese)</t>
        </is>
      </c>
      <c r="Z115" s="240" t="n">
        <v>20060</v>
      </c>
      <c r="AB115" s="245" t="inlineStr">
        <is>
          <t>3/26/2026</t>
        </is>
      </c>
      <c r="AC115" s="237" t="inlineStr">
        <is>
          <t>Nichole Fan</t>
        </is>
      </c>
    </row>
    <row r="116" ht="14" customFormat="1" customHeight="1" s="248">
      <c r="A116" s="237" t="n">
        <v>107</v>
      </c>
      <c r="B116" s="237" t="inlineStr">
        <is>
          <t>P5016</t>
        </is>
      </c>
      <c r="C116" s="237" t="inlineStr">
        <is>
          <t>BKKBT</t>
        </is>
      </c>
      <c r="E116" s="239" t="inlineStr">
        <is>
          <t>4/24/2026</t>
        </is>
      </c>
      <c r="F116" s="237" t="inlineStr">
        <is>
          <t>LMS Training</t>
        </is>
      </c>
      <c r="G116" s="237" t="inlineStr">
        <is>
          <t>Offering of IHG Way of Sales - Effective Sales Negotiations</t>
        </is>
      </c>
      <c r="H116" s="237" t="inlineStr">
        <is>
          <t>USD</t>
        </is>
      </c>
      <c r="I116" s="237" t="n">
        <v>375</v>
      </c>
      <c r="J116" s="237" t="n"/>
      <c r="K116" s="237" t="n">
        <v>76615</v>
      </c>
      <c r="L116" s="237" t="n"/>
      <c r="M116" s="237" t="n"/>
      <c r="N116" s="237" t="n"/>
      <c r="O116" s="237" t="inlineStr">
        <is>
          <t>Offering of IHG Way of Sales - Effective Sales Negotiations</t>
        </is>
      </c>
      <c r="P116" s="237" t="n"/>
      <c r="Q116" s="237" t="n"/>
      <c r="R116" s="237" t="n"/>
      <c r="S116" s="237" t="n"/>
      <c r="T116" s="237" t="n"/>
      <c r="U116" s="237" t="n"/>
      <c r="V116" s="237" t="n"/>
      <c r="W116" s="237" t="n"/>
      <c r="X116" s="237" t="n"/>
      <c r="Y116" s="237" t="n"/>
      <c r="Z116" s="240" t="n">
        <v>19223</v>
      </c>
      <c r="AA116" s="237" t="n"/>
      <c r="AB116" s="245" t="inlineStr">
        <is>
          <t>3/25/2026</t>
        </is>
      </c>
      <c r="AC116" s="237" t="inlineStr">
        <is>
          <t>Thamonwan Mueanjunchoey</t>
        </is>
      </c>
      <c r="AD116" s="237" t="n"/>
      <c r="AE116" s="237" t="n"/>
      <c r="AF116" s="237" t="n"/>
      <c r="AG116" s="237" t="n"/>
      <c r="AH116" s="237" t="n"/>
      <c r="AI116" s="237" t="n"/>
      <c r="AJ116" s="237" t="n"/>
      <c r="AK116" s="237" t="n"/>
      <c r="AL116" s="237" t="n"/>
      <c r="AM116" s="237" t="n"/>
      <c r="AN116" s="237" t="n"/>
      <c r="AO116" s="237" t="n"/>
      <c r="AP116" s="237" t="n"/>
      <c r="AQ116" s="237" t="n"/>
      <c r="AR116" s="237" t="n"/>
      <c r="AS116" s="237" t="n"/>
      <c r="AT116" s="237" t="n"/>
      <c r="AU116" s="237" t="n"/>
      <c r="AV116" s="237" t="n"/>
      <c r="AW116" s="237" t="n"/>
      <c r="AX116" s="237" t="n"/>
      <c r="AY116" s="237" t="n"/>
      <c r="AZ116" s="237" t="n"/>
      <c r="BA116" s="237" t="n"/>
      <c r="BB116" s="237" t="n"/>
      <c r="BC116" s="237" t="n"/>
      <c r="BD116" s="237" t="n"/>
      <c r="BE116" s="237" t="n"/>
      <c r="BF116" s="237" t="n"/>
      <c r="BG116" s="237" t="n"/>
      <c r="BH116" s="237" t="n"/>
      <c r="BI116" s="237" t="n"/>
      <c r="BJ116" s="237" t="n"/>
      <c r="BK116" s="237" t="n"/>
      <c r="BL116" s="237" t="n"/>
      <c r="BM116" s="237" t="n"/>
      <c r="BN116" s="237" t="n"/>
      <c r="BO116" s="237" t="n"/>
      <c r="BP116" s="237" t="n"/>
      <c r="BQ116" s="237" t="n"/>
      <c r="BR116" s="237" t="n"/>
      <c r="BS116" s="237" t="n"/>
      <c r="BT116" s="237" t="n"/>
      <c r="BU116" s="237" t="n"/>
      <c r="BV116" s="237" t="n"/>
      <c r="BW116" s="237" t="n"/>
      <c r="BX116" s="237" t="n"/>
      <c r="BY116" s="237" t="n"/>
      <c r="BZ116" s="237" t="n"/>
      <c r="CA116" s="237" t="n"/>
      <c r="CB116" s="237" t="n"/>
      <c r="CC116" s="237" t="n"/>
      <c r="CD116" s="237" t="n"/>
      <c r="CE116" s="237" t="n"/>
      <c r="CF116" s="237" t="n"/>
      <c r="CG116" s="237" t="n"/>
      <c r="CH116" s="237" t="n"/>
      <c r="CI116" s="237" t="n"/>
    </row>
    <row r="117" ht="14" customFormat="1" customHeight="1" s="248">
      <c r="A117" s="237" t="n">
        <v>108</v>
      </c>
      <c r="B117" s="237" t="inlineStr">
        <is>
          <t>P5016</t>
        </is>
      </c>
      <c r="C117" s="237" t="inlineStr">
        <is>
          <t>VTGVT</t>
        </is>
      </c>
      <c r="E117" s="239" t="inlineStr">
        <is>
          <t>4/24/2026</t>
        </is>
      </c>
      <c r="F117" s="237" t="inlineStr">
        <is>
          <t>LMS Training</t>
        </is>
      </c>
      <c r="G117" s="237" t="inlineStr">
        <is>
          <t>Offering of IHG Way of Sales - Effective Sales Negotiations</t>
        </is>
      </c>
      <c r="H117" s="237" t="inlineStr">
        <is>
          <t>USD</t>
        </is>
      </c>
      <c r="I117" s="237" t="n">
        <v>375</v>
      </c>
      <c r="J117" s="237" t="n"/>
      <c r="K117" s="237" t="n">
        <v>76615</v>
      </c>
      <c r="L117" s="237" t="n"/>
      <c r="M117" s="237" t="n"/>
      <c r="N117" s="237" t="n"/>
      <c r="O117" s="237" t="inlineStr">
        <is>
          <t>Offering of IHG Way of Sales - Effective Sales Negotiations</t>
        </is>
      </c>
      <c r="P117" s="237" t="n"/>
      <c r="Q117" s="237" t="n"/>
      <c r="R117" s="237" t="n"/>
      <c r="S117" s="237" t="n"/>
      <c r="T117" s="237" t="n"/>
      <c r="U117" s="237" t="n"/>
      <c r="V117" s="237" t="n"/>
      <c r="W117" s="237" t="n"/>
      <c r="X117" s="237" t="n"/>
      <c r="Y117" s="237" t="n"/>
      <c r="Z117" s="240" t="n">
        <v>19317</v>
      </c>
      <c r="AA117" s="237" t="n"/>
      <c r="AB117" s="245" t="inlineStr">
        <is>
          <t>3/16/2026</t>
        </is>
      </c>
      <c r="AC117" s="237" t="inlineStr">
        <is>
          <t>Truong Giang Tran</t>
        </is>
      </c>
      <c r="AD117" s="237" t="n"/>
      <c r="AE117" s="237" t="n"/>
      <c r="AF117" s="237" t="n"/>
      <c r="AG117" s="237" t="n"/>
      <c r="AH117" s="237" t="n"/>
      <c r="AI117" s="237" t="n"/>
      <c r="AJ117" s="237" t="n"/>
      <c r="AK117" s="237" t="n"/>
      <c r="AL117" s="237" t="n"/>
      <c r="AM117" s="237" t="n"/>
      <c r="AN117" s="237" t="n"/>
      <c r="AO117" s="237" t="n"/>
      <c r="AP117" s="237" t="n"/>
      <c r="AQ117" s="237" t="n"/>
      <c r="AR117" s="237" t="n"/>
      <c r="AS117" s="237" t="n"/>
      <c r="AT117" s="237" t="n"/>
      <c r="AU117" s="237" t="n"/>
      <c r="AV117" s="237" t="n"/>
      <c r="AW117" s="237" t="n"/>
      <c r="AX117" s="237" t="n"/>
      <c r="AY117" s="237" t="n"/>
      <c r="AZ117" s="237" t="n"/>
      <c r="BA117" s="237" t="n"/>
      <c r="BB117" s="237" t="n"/>
      <c r="BC117" s="237" t="n"/>
      <c r="BD117" s="237" t="n"/>
      <c r="BE117" s="237" t="n"/>
      <c r="BF117" s="237" t="n"/>
      <c r="BG117" s="237" t="n"/>
      <c r="BH117" s="237" t="n"/>
      <c r="BI117" s="237" t="n"/>
      <c r="BJ117" s="237" t="n"/>
      <c r="BK117" s="237" t="n"/>
      <c r="BL117" s="237" t="n"/>
      <c r="BM117" s="237" t="n"/>
      <c r="BN117" s="237" t="n"/>
      <c r="BO117" s="237" t="n"/>
      <c r="BP117" s="237" t="n"/>
      <c r="BQ117" s="237" t="n"/>
      <c r="BR117" s="237" t="n"/>
      <c r="BS117" s="237" t="n"/>
      <c r="BT117" s="237" t="n"/>
      <c r="BU117" s="237" t="n"/>
      <c r="BV117" s="237" t="n"/>
      <c r="BW117" s="237" t="n"/>
      <c r="BX117" s="237" t="n"/>
      <c r="BY117" s="237" t="n"/>
      <c r="BZ117" s="237" t="n"/>
      <c r="CA117" s="237" t="n"/>
      <c r="CB117" s="237" t="n"/>
      <c r="CC117" s="237" t="n"/>
      <c r="CD117" s="237" t="n"/>
      <c r="CE117" s="237" t="n"/>
      <c r="CF117" s="237" t="n"/>
      <c r="CG117" s="237" t="n"/>
      <c r="CH117" s="237" t="n"/>
      <c r="CI117" s="237" t="n"/>
    </row>
    <row r="118" ht="14" customFormat="1" customHeight="1" s="248">
      <c r="A118" s="237" t="n">
        <v>109</v>
      </c>
      <c r="B118" s="237" t="inlineStr">
        <is>
          <t>P5016</t>
        </is>
      </c>
      <c r="C118" s="237" t="inlineStr">
        <is>
          <t>MNLBA</t>
        </is>
      </c>
      <c r="E118" s="239" t="inlineStr">
        <is>
          <t>4/24/2026</t>
        </is>
      </c>
      <c r="F118" s="237" t="inlineStr">
        <is>
          <t>LMS Training</t>
        </is>
      </c>
      <c r="G118" s="237" t="inlineStr">
        <is>
          <t>Change Management for Supervisors</t>
        </is>
      </c>
      <c r="H118" s="237" t="inlineStr">
        <is>
          <t>USD</t>
        </is>
      </c>
      <c r="I118" s="237" t="n">
        <v>30</v>
      </c>
      <c r="J118" s="237" t="n"/>
      <c r="K118" s="237" t="n">
        <v>70256</v>
      </c>
      <c r="L118" s="237" t="n"/>
      <c r="M118" s="237" t="n"/>
      <c r="N118" s="237" t="n"/>
      <c r="O118" s="237" t="inlineStr">
        <is>
          <t>Change Management for Supervisors</t>
        </is>
      </c>
      <c r="P118" s="237" t="n"/>
      <c r="Q118" s="237" t="n"/>
      <c r="R118" s="237" t="n"/>
      <c r="S118" s="237" t="n"/>
      <c r="T118" s="237" t="n"/>
      <c r="U118" s="237" t="n"/>
      <c r="V118" s="237" t="n"/>
      <c r="W118" s="237" t="n"/>
      <c r="X118" s="237" t="n"/>
      <c r="Y118" s="237" t="n"/>
      <c r="Z118" s="240" t="n">
        <v>19693</v>
      </c>
      <c r="AA118" s="237" t="n"/>
      <c r="AB118" s="241" t="n">
        <v/>
      </c>
      <c r="AC118" s="237" t="inlineStr">
        <is>
          <t>Mila Gros Prado</t>
        </is>
      </c>
      <c r="AD118" s="237" t="n"/>
      <c r="AE118" s="237" t="n"/>
      <c r="AF118" s="237" t="n"/>
      <c r="AG118" s="237" t="n"/>
      <c r="AH118" s="237" t="n"/>
      <c r="AI118" s="237" t="n"/>
      <c r="AJ118" s="237" t="n"/>
      <c r="AK118" s="237" t="n"/>
      <c r="AL118" s="237" t="n"/>
      <c r="AM118" s="237" t="n"/>
      <c r="AN118" s="237" t="n"/>
      <c r="AO118" s="237" t="n"/>
      <c r="AP118" s="237" t="n"/>
      <c r="AQ118" s="237" t="n"/>
      <c r="AR118" s="237" t="n"/>
      <c r="AS118" s="237" t="n"/>
      <c r="AT118" s="237" t="n"/>
      <c r="AU118" s="237" t="n"/>
      <c r="AV118" s="237" t="n"/>
      <c r="AW118" s="237" t="n"/>
      <c r="AX118" s="237" t="n"/>
      <c r="AY118" s="237" t="n"/>
      <c r="AZ118" s="237" t="n"/>
      <c r="BA118" s="237" t="n"/>
      <c r="BB118" s="237" t="n"/>
      <c r="BC118" s="237" t="n"/>
      <c r="BD118" s="237" t="n"/>
      <c r="BE118" s="237" t="n"/>
      <c r="BF118" s="237" t="n"/>
      <c r="BG118" s="237" t="n"/>
      <c r="BH118" s="237" t="n"/>
      <c r="BI118" s="237" t="n"/>
      <c r="BJ118" s="237" t="n"/>
      <c r="BK118" s="237" t="n"/>
      <c r="BL118" s="237" t="n"/>
      <c r="BM118" s="237" t="n"/>
      <c r="BN118" s="237" t="n"/>
      <c r="BO118" s="237" t="n"/>
      <c r="BP118" s="237" t="n"/>
      <c r="BQ118" s="237" t="n"/>
      <c r="BR118" s="237" t="n"/>
      <c r="BS118" s="237" t="n"/>
      <c r="BT118" s="237" t="n"/>
      <c r="BU118" s="237" t="n"/>
      <c r="BV118" s="237" t="n"/>
      <c r="BW118" s="237" t="n"/>
      <c r="BX118" s="237" t="n"/>
      <c r="BY118" s="237" t="n"/>
      <c r="BZ118" s="237" t="n"/>
      <c r="CA118" s="237" t="n"/>
      <c r="CB118" s="237" t="n"/>
      <c r="CC118" s="237" t="n"/>
      <c r="CD118" s="237" t="n"/>
      <c r="CE118" s="237" t="n"/>
      <c r="CF118" s="237" t="n"/>
      <c r="CG118" s="237" t="n"/>
      <c r="CH118" s="237" t="n"/>
      <c r="CI118" s="237" t="n"/>
    </row>
    <row r="119" ht="14" customFormat="1" customHeight="1" s="248">
      <c r="A119" s="237" t="n">
        <v>110</v>
      </c>
      <c r="B119" s="237" t="inlineStr">
        <is>
          <t>P5016</t>
        </is>
      </c>
      <c r="C119" s="237" t="inlineStr">
        <is>
          <t>SINHI</t>
        </is>
      </c>
      <c r="E119" s="239" t="inlineStr">
        <is>
          <t>4/24/2026</t>
        </is>
      </c>
      <c r="F119" s="237" t="inlineStr">
        <is>
          <t>LMS Training</t>
        </is>
      </c>
      <c r="G119" s="237" t="inlineStr">
        <is>
          <t>Change Management for Supervisors</t>
        </is>
      </c>
      <c r="H119" s="237" t="inlineStr">
        <is>
          <t>USD</t>
        </is>
      </c>
      <c r="I119" s="237" t="n">
        <v>60</v>
      </c>
      <c r="J119" s="237" t="n"/>
      <c r="K119" s="237" t="n">
        <v>70256</v>
      </c>
      <c r="L119" s="237" t="n"/>
      <c r="M119" s="237" t="n"/>
      <c r="N119" s="237" t="n"/>
      <c r="O119" s="237" t="inlineStr">
        <is>
          <t>Change Management for Supervisors</t>
        </is>
      </c>
      <c r="P119" s="237" t="n"/>
      <c r="Q119" s="237" t="n"/>
      <c r="R119" s="237" t="n"/>
      <c r="S119" s="237" t="n"/>
      <c r="T119" s="237" t="n"/>
      <c r="U119" s="237" t="n"/>
      <c r="V119" s="237" t="n"/>
      <c r="W119" s="237" t="n"/>
      <c r="X119" s="237" t="n"/>
      <c r="Y119" s="237" t="n"/>
      <c r="Z119" s="240" t="n">
        <v>19668</v>
      </c>
      <c r="AA119" s="237" t="n"/>
      <c r="AB119" s="245" t="n">
        <v/>
      </c>
      <c r="AC119" s="237" t="inlineStr">
        <is>
          <t>John Chee</t>
        </is>
      </c>
      <c r="AD119" s="237" t="n"/>
      <c r="AE119" s="237" t="n"/>
      <c r="AF119" s="237" t="n"/>
      <c r="AG119" s="237" t="n"/>
      <c r="AH119" s="237" t="n"/>
      <c r="AI119" s="237" t="n"/>
      <c r="AJ119" s="237" t="n"/>
      <c r="AK119" s="237" t="n"/>
      <c r="AL119" s="237" t="n"/>
      <c r="AM119" s="237" t="n"/>
      <c r="AN119" s="237" t="n"/>
      <c r="AO119" s="237" t="n"/>
      <c r="AP119" s="237" t="n"/>
      <c r="AQ119" s="237" t="n"/>
      <c r="AR119" s="237" t="n"/>
      <c r="AS119" s="237" t="n"/>
      <c r="AT119" s="237" t="n"/>
      <c r="AU119" s="237" t="n"/>
      <c r="AV119" s="237" t="n"/>
      <c r="AW119" s="237" t="n"/>
      <c r="AX119" s="237" t="n"/>
      <c r="AY119" s="237" t="n"/>
      <c r="AZ119" s="237" t="n"/>
      <c r="BA119" s="237" t="n"/>
      <c r="BB119" s="237" t="n"/>
      <c r="BC119" s="237" t="n"/>
      <c r="BD119" s="237" t="n"/>
      <c r="BE119" s="237" t="n"/>
      <c r="BF119" s="237" t="n"/>
      <c r="BG119" s="237" t="n"/>
      <c r="BH119" s="237" t="n"/>
      <c r="BI119" s="237" t="n"/>
      <c r="BJ119" s="237" t="n"/>
      <c r="BK119" s="237" t="n"/>
      <c r="BL119" s="237" t="n"/>
      <c r="BM119" s="237" t="n"/>
      <c r="BN119" s="237" t="n"/>
      <c r="BO119" s="237" t="n"/>
      <c r="BP119" s="237" t="n"/>
      <c r="BQ119" s="237" t="n"/>
      <c r="BR119" s="237" t="n"/>
      <c r="BS119" s="237" t="n"/>
      <c r="BT119" s="237" t="n"/>
      <c r="BU119" s="237" t="n"/>
      <c r="BV119" s="237" t="n"/>
      <c r="BW119" s="237" t="n"/>
      <c r="BX119" s="237" t="n"/>
      <c r="BY119" s="237" t="n"/>
      <c r="BZ119" s="237" t="n"/>
      <c r="CA119" s="237" t="n"/>
      <c r="CB119" s="237" t="n"/>
      <c r="CC119" s="237" t="n"/>
      <c r="CD119" s="237" t="n"/>
      <c r="CE119" s="237" t="n"/>
      <c r="CF119" s="237" t="n"/>
      <c r="CG119" s="237" t="n"/>
      <c r="CH119" s="237" t="n"/>
      <c r="CI119" s="237" t="n"/>
    </row>
    <row r="120" ht="14" customFormat="1" customHeight="1" s="248">
      <c r="A120" s="237" t="n">
        <v>111</v>
      </c>
      <c r="B120" s="237" t="inlineStr">
        <is>
          <t>P6066</t>
        </is>
      </c>
      <c r="C120" s="237" t="inlineStr">
        <is>
          <t>MFMCP</t>
        </is>
      </c>
      <c r="E120" s="239" t="inlineStr">
        <is>
          <t>4/24/2026</t>
        </is>
      </c>
      <c r="F120" s="237" t="inlineStr">
        <is>
          <t>LMS Training</t>
        </is>
      </c>
      <c r="G120" s="237" t="inlineStr">
        <is>
          <t>Offering of Group Training Certificate</t>
        </is>
      </c>
      <c r="H120" s="237" t="inlineStr">
        <is>
          <t>USD</t>
        </is>
      </c>
      <c r="I120" s="237" t="n">
        <v>750</v>
      </c>
      <c r="J120" s="237" t="n"/>
      <c r="K120" s="237" t="n">
        <v>73576</v>
      </c>
      <c r="L120" s="237" t="n"/>
      <c r="M120" s="237" t="n"/>
      <c r="N120" s="237" t="n"/>
      <c r="O120" s="237" t="inlineStr">
        <is>
          <t>Offering of Group Training Certificate</t>
        </is>
      </c>
      <c r="P120" s="237" t="n"/>
      <c r="Q120" s="237" t="n"/>
      <c r="R120" s="237" t="n"/>
      <c r="S120" s="237" t="n"/>
      <c r="T120" s="237" t="n"/>
      <c r="U120" s="237" t="n"/>
      <c r="V120" s="237" t="n"/>
      <c r="W120" s="237" t="n"/>
      <c r="X120" s="237" t="n"/>
      <c r="Y120" s="237" t="n"/>
      <c r="Z120" s="240" t="n">
        <v>20041</v>
      </c>
      <c r="AA120" s="237" t="n"/>
      <c r="AB120" s="245" t="inlineStr">
        <is>
          <t>3/24/2026</t>
        </is>
      </c>
      <c r="AC120" s="237" t="inlineStr">
        <is>
          <t>Leong Hoi In Elaine</t>
        </is>
      </c>
      <c r="AD120" s="237" t="n"/>
      <c r="AE120" s="237" t="n"/>
      <c r="AF120" s="237" t="n"/>
      <c r="AG120" s="237" t="n"/>
      <c r="AH120" s="237" t="n"/>
      <c r="AI120" s="237" t="n"/>
      <c r="AJ120" s="237" t="n"/>
      <c r="AK120" s="237" t="n"/>
      <c r="AL120" s="237" t="n"/>
      <c r="AM120" s="237" t="n"/>
      <c r="AN120" s="237" t="n"/>
      <c r="AO120" s="237" t="n"/>
      <c r="AP120" s="237" t="n"/>
      <c r="AQ120" s="237" t="n"/>
      <c r="AR120" s="237" t="n"/>
      <c r="AS120" s="237" t="n"/>
      <c r="AT120" s="237" t="n"/>
      <c r="AU120" s="237" t="n"/>
      <c r="AV120" s="237" t="n"/>
      <c r="AW120" s="237" t="n"/>
      <c r="AX120" s="237" t="n"/>
      <c r="AY120" s="237" t="n"/>
      <c r="AZ120" s="237" t="n"/>
      <c r="BA120" s="237" t="n"/>
      <c r="BB120" s="237" t="n"/>
      <c r="BC120" s="237" t="n"/>
      <c r="BD120" s="237" t="n"/>
      <c r="BE120" s="237" t="n"/>
      <c r="BF120" s="237" t="n"/>
      <c r="BG120" s="237" t="n"/>
      <c r="BH120" s="237" t="n"/>
      <c r="BI120" s="237" t="n"/>
      <c r="BJ120" s="237" t="n"/>
      <c r="BK120" s="237" t="n"/>
      <c r="BL120" s="237" t="n"/>
      <c r="BM120" s="237" t="n"/>
      <c r="BN120" s="237" t="n"/>
      <c r="BO120" s="237" t="n"/>
      <c r="BP120" s="237" t="n"/>
      <c r="BQ120" s="237" t="n"/>
      <c r="BR120" s="237" t="n"/>
      <c r="BS120" s="237" t="n"/>
      <c r="BT120" s="237" t="n"/>
      <c r="BU120" s="237" t="n"/>
      <c r="BV120" s="237" t="n"/>
      <c r="BW120" s="237" t="n"/>
      <c r="BX120" s="237" t="n"/>
      <c r="BY120" s="237" t="n"/>
      <c r="BZ120" s="237" t="n"/>
      <c r="CA120" s="237" t="n"/>
      <c r="CB120" s="237" t="n"/>
      <c r="CC120" s="237" t="n"/>
      <c r="CD120" s="237" t="n"/>
      <c r="CE120" s="237" t="n"/>
      <c r="CF120" s="237" t="n"/>
      <c r="CG120" s="237" t="n"/>
      <c r="CH120" s="237" t="n"/>
      <c r="CI120" s="237" t="n"/>
    </row>
    <row r="121" ht="14" customFormat="1" customHeight="1" s="248">
      <c r="A121" s="237" t="n">
        <v>112</v>
      </c>
      <c r="B121" s="237" t="inlineStr">
        <is>
          <t>P6066</t>
        </is>
      </c>
      <c r="C121" s="237" t="inlineStr">
        <is>
          <t>HGHTH</t>
        </is>
      </c>
      <c r="E121" s="239" t="inlineStr">
        <is>
          <t>4/24/2026</t>
        </is>
      </c>
      <c r="F121" s="237" t="inlineStr">
        <is>
          <t>LMS Training</t>
        </is>
      </c>
      <c r="G121" s="237" t="inlineStr">
        <is>
          <t>Offering of Training Needs Diagnosis (Lead Business-Driven Training) (Chinese)</t>
        </is>
      </c>
      <c r="H121" s="237" t="inlineStr">
        <is>
          <t>CNY</t>
        </is>
      </c>
      <c r="I121" s="237" t="n">
        <v>2120</v>
      </c>
      <c r="J121" s="237" t="n"/>
      <c r="K121" s="237" t="n">
        <v>73576</v>
      </c>
      <c r="L121" s="237" t="n"/>
      <c r="M121" s="237" t="n"/>
      <c r="N121" s="237" t="n"/>
      <c r="O121" s="237" t="inlineStr">
        <is>
          <t>Offering of Training Needs Diagnosis (Lead Business-Driven Training) (Chinese)</t>
        </is>
      </c>
      <c r="P121" s="237" t="n"/>
      <c r="Q121" s="237" t="n"/>
      <c r="R121" s="237" t="n"/>
      <c r="S121" s="237" t="n"/>
      <c r="T121" s="237" t="n"/>
      <c r="U121" s="237" t="n"/>
      <c r="V121" s="237" t="n"/>
      <c r="W121" s="237" t="n"/>
      <c r="X121" s="237" t="n"/>
      <c r="Y121" s="237" t="n"/>
      <c r="Z121" s="240" t="n">
        <v>20050</v>
      </c>
      <c r="AA121" s="237" t="n"/>
      <c r="AB121" s="245" t="inlineStr">
        <is>
          <t>3/26/2026</t>
        </is>
      </c>
      <c r="AC121" s="237" t="inlineStr">
        <is>
          <t>Helen zhou</t>
        </is>
      </c>
      <c r="AD121" s="237" t="n"/>
      <c r="AE121" s="237" t="n"/>
      <c r="AF121" s="237" t="n"/>
      <c r="AG121" s="237" t="n"/>
      <c r="AH121" s="237" t="n"/>
      <c r="AI121" s="237" t="n"/>
      <c r="AJ121" s="237" t="n"/>
      <c r="AK121" s="237" t="n"/>
      <c r="AL121" s="237" t="n"/>
      <c r="AM121" s="237" t="n"/>
      <c r="AN121" s="237" t="n"/>
      <c r="AO121" s="237" t="n"/>
      <c r="AP121" s="237" t="n"/>
      <c r="AQ121" s="237" t="n"/>
      <c r="AR121" s="237" t="n"/>
      <c r="AS121" s="237" t="n"/>
      <c r="AT121" s="237" t="n"/>
      <c r="AU121" s="237" t="n"/>
      <c r="AV121" s="237" t="n"/>
      <c r="AW121" s="237" t="n"/>
      <c r="AX121" s="237" t="n"/>
      <c r="AY121" s="237" t="n"/>
      <c r="AZ121" s="237" t="n"/>
      <c r="BA121" s="237" t="n"/>
      <c r="BB121" s="237" t="n"/>
      <c r="BC121" s="237" t="n"/>
      <c r="BD121" s="237" t="n"/>
      <c r="BE121" s="237" t="n"/>
      <c r="BF121" s="237" t="n"/>
      <c r="BG121" s="237" t="n"/>
      <c r="BH121" s="237" t="n"/>
      <c r="BI121" s="237" t="n"/>
      <c r="BJ121" s="237" t="n"/>
      <c r="BK121" s="237" t="n"/>
      <c r="BL121" s="237" t="n"/>
      <c r="BM121" s="237" t="n"/>
      <c r="BN121" s="237" t="n"/>
      <c r="BO121" s="237" t="n"/>
      <c r="BP121" s="237" t="n"/>
      <c r="BQ121" s="237" t="n"/>
      <c r="BR121" s="237" t="n"/>
      <c r="BS121" s="237" t="n"/>
      <c r="BT121" s="237" t="n"/>
      <c r="BU121" s="237" t="n"/>
      <c r="BV121" s="237" t="n"/>
      <c r="BW121" s="237" t="n"/>
      <c r="BX121" s="237" t="n"/>
      <c r="BY121" s="237" t="n"/>
      <c r="BZ121" s="237" t="n"/>
      <c r="CA121" s="237" t="n"/>
      <c r="CB121" s="237" t="n"/>
      <c r="CC121" s="237" t="n"/>
      <c r="CD121" s="237" t="n"/>
      <c r="CE121" s="237" t="n"/>
      <c r="CF121" s="237" t="n"/>
      <c r="CG121" s="237" t="n"/>
      <c r="CH121" s="237" t="n"/>
      <c r="CI121" s="237" t="n"/>
    </row>
    <row r="122" ht="14" customFormat="1" customHeight="1" s="248">
      <c r="A122" s="237" t="n">
        <v>113</v>
      </c>
      <c r="B122" s="237" t="inlineStr">
        <is>
          <t>P6066</t>
        </is>
      </c>
      <c r="C122" s="237" t="inlineStr">
        <is>
          <t>YNZJH</t>
        </is>
      </c>
      <c r="E122" s="239" t="inlineStr">
        <is>
          <t>4/24/2026</t>
        </is>
      </c>
      <c r="F122" s="237" t="inlineStr">
        <is>
          <t>LMS Training</t>
        </is>
      </c>
      <c r="G122" s="237" t="inlineStr">
        <is>
          <t>Offering of Greater China Excom Learning Day (Chinese)</t>
        </is>
      </c>
      <c r="H122" s="237" t="inlineStr">
        <is>
          <t>CNY</t>
        </is>
      </c>
      <c r="I122" s="237" t="n">
        <v>2120</v>
      </c>
      <c r="J122" s="237" t="n"/>
      <c r="K122" s="237" t="n">
        <v>73576</v>
      </c>
      <c r="L122" s="237" t="n"/>
      <c r="M122" s="237" t="n"/>
      <c r="N122" s="237" t="n"/>
      <c r="O122" s="237" t="inlineStr">
        <is>
          <t>Offering of Greater China Excom Learning Day (Chinese)</t>
        </is>
      </c>
      <c r="P122" s="237" t="n"/>
      <c r="Q122" s="237" t="n"/>
      <c r="R122" s="237" t="n"/>
      <c r="S122" s="237" t="n"/>
      <c r="T122" s="237" t="n"/>
      <c r="U122" s="237" t="n"/>
      <c r="V122" s="237" t="n"/>
      <c r="W122" s="237" t="n"/>
      <c r="X122" s="237" t="n"/>
      <c r="Y122" s="237" t="n"/>
      <c r="Z122" s="240" t="n">
        <v>19776</v>
      </c>
      <c r="AA122" s="237" t="n"/>
      <c r="AB122" s="245" t="inlineStr">
        <is>
          <t>3/17/2026</t>
        </is>
      </c>
      <c r="AC122" s="237" t="inlineStr">
        <is>
          <t>JIAN XU</t>
        </is>
      </c>
      <c r="AD122" s="237" t="n"/>
      <c r="AE122" s="237" t="n"/>
      <c r="AF122" s="237" t="n"/>
      <c r="AG122" s="237" t="n"/>
      <c r="AH122" s="237" t="n"/>
      <c r="AI122" s="237" t="n"/>
      <c r="AJ122" s="237" t="n"/>
      <c r="AK122" s="237" t="n"/>
      <c r="AL122" s="237" t="n"/>
      <c r="AM122" s="237" t="n"/>
      <c r="AN122" s="237" t="n"/>
      <c r="AO122" s="237" t="n"/>
      <c r="AP122" s="237" t="n"/>
      <c r="AQ122" s="237" t="n"/>
      <c r="AR122" s="237" t="n"/>
      <c r="AS122" s="237" t="n"/>
      <c r="AT122" s="237" t="n"/>
      <c r="AU122" s="237" t="n"/>
      <c r="AV122" s="237" t="n"/>
      <c r="AW122" s="237" t="n"/>
      <c r="AX122" s="237" t="n"/>
      <c r="AY122" s="237" t="n"/>
      <c r="AZ122" s="237" t="n"/>
      <c r="BA122" s="237" t="n"/>
      <c r="BB122" s="237" t="n"/>
      <c r="BC122" s="237" t="n"/>
      <c r="BD122" s="237" t="n"/>
      <c r="BE122" s="237" t="n"/>
      <c r="BF122" s="237" t="n"/>
      <c r="BG122" s="237" t="n"/>
      <c r="BH122" s="237" t="n"/>
      <c r="BI122" s="237" t="n"/>
      <c r="BJ122" s="237" t="n"/>
      <c r="BK122" s="237" t="n"/>
      <c r="BL122" s="237" t="n"/>
      <c r="BM122" s="237" t="n"/>
      <c r="BN122" s="237" t="n"/>
      <c r="BO122" s="237" t="n"/>
      <c r="BP122" s="237" t="n"/>
      <c r="BQ122" s="237" t="n"/>
      <c r="BR122" s="237" t="n"/>
      <c r="BS122" s="237" t="n"/>
      <c r="BT122" s="237" t="n"/>
      <c r="BU122" s="237" t="n"/>
      <c r="BV122" s="237" t="n"/>
      <c r="BW122" s="237" t="n"/>
      <c r="BX122" s="237" t="n"/>
      <c r="BY122" s="237" t="n"/>
      <c r="BZ122" s="237" t="n"/>
      <c r="CA122" s="237" t="n"/>
      <c r="CB122" s="237" t="n"/>
      <c r="CC122" s="237" t="n"/>
      <c r="CD122" s="237" t="n"/>
      <c r="CE122" s="237" t="n"/>
      <c r="CF122" s="237" t="n"/>
      <c r="CG122" s="237" t="n"/>
      <c r="CH122" s="237" t="n"/>
      <c r="CI122" s="237" t="n"/>
    </row>
    <row r="123" ht="14" customFormat="1" customHeight="1" s="248">
      <c r="A123" s="237" t="n">
        <v>114</v>
      </c>
      <c r="B123" s="237" t="inlineStr">
        <is>
          <t>P5016</t>
        </is>
      </c>
      <c r="C123" s="237" t="inlineStr">
        <is>
          <t>NANHA</t>
        </is>
      </c>
      <c r="E123" s="239" t="inlineStr">
        <is>
          <t>4/24/2026</t>
        </is>
      </c>
      <c r="F123" s="237" t="inlineStr">
        <is>
          <t>LMS Training</t>
        </is>
      </c>
      <c r="G123" s="237" t="inlineStr">
        <is>
          <t>Change Management for Managers</t>
        </is>
      </c>
      <c r="H123" s="237" t="inlineStr">
        <is>
          <t>USD</t>
        </is>
      </c>
      <c r="I123" s="237" t="n">
        <v>30</v>
      </c>
      <c r="J123" s="237" t="n"/>
      <c r="K123" s="237" t="n">
        <v>70256</v>
      </c>
      <c r="L123" s="237" t="n"/>
      <c r="M123" s="237" t="n"/>
      <c r="N123" s="237" t="n"/>
      <c r="O123" s="237" t="inlineStr">
        <is>
          <t>Change Management for Managers</t>
        </is>
      </c>
      <c r="P123" s="237" t="n"/>
      <c r="Q123" s="237" t="n"/>
      <c r="R123" s="237" t="n"/>
      <c r="S123" s="237" t="n"/>
      <c r="T123" s="237" t="n"/>
      <c r="U123" s="237" t="n"/>
      <c r="V123" s="237" t="n"/>
      <c r="W123" s="237" t="n"/>
      <c r="X123" s="237" t="n"/>
      <c r="Y123" s="237" t="n"/>
      <c r="Z123" s="240" t="n">
        <v>156396938</v>
      </c>
      <c r="AA123" s="237" t="n"/>
      <c r="AB123" s="245" t="n">
        <v/>
      </c>
      <c r="AC123" s="237" t="inlineStr">
        <is>
          <t>Janet Vakalutukali</t>
        </is>
      </c>
      <c r="AD123" s="237" t="n"/>
      <c r="AE123" s="237" t="n"/>
      <c r="AF123" s="237" t="n"/>
      <c r="AG123" s="237" t="n"/>
      <c r="AH123" s="237" t="n"/>
      <c r="AI123" s="237" t="n"/>
      <c r="AJ123" s="237" t="n"/>
      <c r="AK123" s="237" t="n"/>
      <c r="AL123" s="237" t="n"/>
      <c r="AM123" s="237" t="n"/>
      <c r="AN123" s="237" t="n"/>
      <c r="AO123" s="237" t="n"/>
      <c r="AP123" s="237" t="n"/>
      <c r="AQ123" s="237" t="n"/>
      <c r="AR123" s="237" t="n"/>
      <c r="AS123" s="237" t="n"/>
      <c r="AT123" s="237" t="n"/>
      <c r="AU123" s="237" t="n"/>
      <c r="AV123" s="237" t="n"/>
      <c r="AW123" s="237" t="n"/>
      <c r="AX123" s="237" t="n"/>
      <c r="AY123" s="237" t="n"/>
      <c r="AZ123" s="237" t="n"/>
      <c r="BA123" s="237" t="n"/>
      <c r="BB123" s="237" t="n"/>
      <c r="BC123" s="237" t="n"/>
      <c r="BD123" s="237" t="n"/>
      <c r="BE123" s="237" t="n"/>
      <c r="BF123" s="237" t="n"/>
      <c r="BG123" s="237" t="n"/>
      <c r="BH123" s="237" t="n"/>
      <c r="BI123" s="237" t="n"/>
      <c r="BJ123" s="237" t="n"/>
      <c r="BK123" s="237" t="n"/>
      <c r="BL123" s="237" t="n"/>
      <c r="BM123" s="237" t="n"/>
      <c r="BN123" s="237" t="n"/>
      <c r="BO123" s="237" t="n"/>
      <c r="BP123" s="237" t="n"/>
      <c r="BQ123" s="237" t="n"/>
      <c r="BR123" s="237" t="n"/>
      <c r="BS123" s="237" t="n"/>
      <c r="BT123" s="237" t="n"/>
      <c r="BU123" s="237" t="n"/>
      <c r="BV123" s="237" t="n"/>
      <c r="BW123" s="237" t="n"/>
      <c r="BX123" s="237" t="n"/>
      <c r="BY123" s="237" t="n"/>
      <c r="BZ123" s="237" t="n"/>
      <c r="CA123" s="237" t="n"/>
      <c r="CB123" s="237" t="n"/>
      <c r="CC123" s="237" t="n"/>
      <c r="CD123" s="237" t="n"/>
      <c r="CE123" s="237" t="n"/>
      <c r="CF123" s="237" t="n"/>
      <c r="CG123" s="237" t="n"/>
      <c r="CH123" s="237" t="n"/>
      <c r="CI123" s="237" t="n"/>
    </row>
    <row r="124" ht="14" customFormat="1" customHeight="1" s="248">
      <c r="A124" s="237" t="n">
        <v>115</v>
      </c>
      <c r="B124" s="237" t="inlineStr">
        <is>
          <t>P5016</t>
        </is>
      </c>
      <c r="C124" s="237" t="inlineStr">
        <is>
          <t>PQCDB</t>
        </is>
      </c>
      <c r="E124" s="239" t="inlineStr">
        <is>
          <t>4/24/2026</t>
        </is>
      </c>
      <c r="F124" s="237" t="inlineStr">
        <is>
          <t>LMS Training</t>
        </is>
      </c>
      <c r="G124" s="237" t="inlineStr">
        <is>
          <t>Offering of IHG Way of Sales - Effective Sales Negotiations</t>
        </is>
      </c>
      <c r="H124" s="237" t="inlineStr">
        <is>
          <t>USD</t>
        </is>
      </c>
      <c r="I124" s="237" t="n">
        <v>375</v>
      </c>
      <c r="J124" s="237" t="n"/>
      <c r="K124" s="237" t="n">
        <v>76615</v>
      </c>
      <c r="L124" s="237" t="n"/>
      <c r="M124" s="237" t="n"/>
      <c r="N124" s="237" t="n"/>
      <c r="O124" s="237" t="inlineStr">
        <is>
          <t>Offering of IHG Way of Sales - Effective Sales Negotiations</t>
        </is>
      </c>
      <c r="P124" s="237" t="n"/>
      <c r="Q124" s="237" t="n"/>
      <c r="R124" s="237" t="n"/>
      <c r="S124" s="237" t="n"/>
      <c r="T124" s="237" t="n"/>
      <c r="U124" s="237" t="n"/>
      <c r="V124" s="237" t="n"/>
      <c r="W124" s="237" t="n"/>
      <c r="X124" s="237" t="n"/>
      <c r="Y124" s="237" t="n"/>
      <c r="Z124" s="240" t="n">
        <v>19588</v>
      </c>
      <c r="AA124" s="237" t="n"/>
      <c r="AB124" s="245" t="inlineStr">
        <is>
          <t>3/16/2026</t>
        </is>
      </c>
      <c r="AC124" s="237" t="inlineStr">
        <is>
          <t>Phuoc Le Nguyen Thien</t>
        </is>
      </c>
      <c r="AD124" s="237" t="n"/>
      <c r="AE124" s="237" t="n"/>
      <c r="AF124" s="237" t="n"/>
      <c r="AG124" s="237" t="n"/>
      <c r="AH124" s="237" t="n"/>
      <c r="AI124" s="237" t="n"/>
      <c r="AJ124" s="237" t="n"/>
      <c r="AK124" s="237" t="n"/>
      <c r="AL124" s="237" t="n"/>
      <c r="AM124" s="237" t="n"/>
      <c r="AN124" s="237" t="n"/>
      <c r="AO124" s="237" t="n"/>
      <c r="AP124" s="237" t="n"/>
      <c r="AQ124" s="237" t="n"/>
      <c r="AR124" s="237" t="n"/>
      <c r="AS124" s="237" t="n"/>
      <c r="AT124" s="237" t="n"/>
      <c r="AU124" s="237" t="n"/>
      <c r="AV124" s="237" t="n"/>
      <c r="AW124" s="237" t="n"/>
      <c r="AX124" s="237" t="n"/>
      <c r="AY124" s="237" t="n"/>
      <c r="AZ124" s="237" t="n"/>
      <c r="BA124" s="237" t="n"/>
      <c r="BB124" s="237" t="n"/>
      <c r="BC124" s="237" t="n"/>
      <c r="BD124" s="237" t="n"/>
      <c r="BE124" s="237" t="n"/>
      <c r="BF124" s="237" t="n"/>
      <c r="BG124" s="237" t="n"/>
      <c r="BH124" s="237" t="n"/>
      <c r="BI124" s="237" t="n"/>
      <c r="BJ124" s="237" t="n"/>
      <c r="BK124" s="237" t="n"/>
      <c r="BL124" s="237" t="n"/>
      <c r="BM124" s="237" t="n"/>
      <c r="BN124" s="237" t="n"/>
      <c r="BO124" s="237" t="n"/>
      <c r="BP124" s="237" t="n"/>
      <c r="BQ124" s="237" t="n"/>
      <c r="BR124" s="237" t="n"/>
      <c r="BS124" s="237" t="n"/>
      <c r="BT124" s="237" t="n"/>
      <c r="BU124" s="237" t="n"/>
      <c r="BV124" s="237" t="n"/>
      <c r="BW124" s="237" t="n"/>
      <c r="BX124" s="237" t="n"/>
      <c r="BY124" s="237" t="n"/>
      <c r="BZ124" s="237" t="n"/>
      <c r="CA124" s="237" t="n"/>
      <c r="CB124" s="237" t="n"/>
      <c r="CC124" s="237" t="n"/>
      <c r="CD124" s="237" t="n"/>
      <c r="CE124" s="237" t="n"/>
      <c r="CF124" s="237" t="n"/>
      <c r="CG124" s="237" t="n"/>
      <c r="CH124" s="237" t="n"/>
      <c r="CI124" s="237" t="n"/>
    </row>
    <row r="125" ht="14" customFormat="1" customHeight="1" s="248">
      <c r="A125" s="237" t="n">
        <v>116</v>
      </c>
      <c r="B125" s="237" t="inlineStr">
        <is>
          <t>P5016</t>
        </is>
      </c>
      <c r="C125" s="237" t="inlineStr">
        <is>
          <t>MNLBA</t>
        </is>
      </c>
      <c r="E125" s="239" t="inlineStr">
        <is>
          <t>4/24/2026</t>
        </is>
      </c>
      <c r="F125" s="237" t="inlineStr">
        <is>
          <t>LMS Training</t>
        </is>
      </c>
      <c r="G125" s="237" t="inlineStr">
        <is>
          <t>Team Collaboration Strategies for Supervisors</t>
        </is>
      </c>
      <c r="H125" s="237" t="inlineStr">
        <is>
          <t>USD</t>
        </is>
      </c>
      <c r="I125" s="237" t="n">
        <v>30</v>
      </c>
      <c r="J125" s="237" t="n"/>
      <c r="K125" s="237" t="n">
        <v>70256</v>
      </c>
      <c r="L125" s="237" t="n"/>
      <c r="M125" s="237" t="n"/>
      <c r="N125" s="237" t="n"/>
      <c r="O125" s="237" t="inlineStr">
        <is>
          <t>Team Collaboration Strategies for Supervisors</t>
        </is>
      </c>
      <c r="P125" s="237" t="n"/>
      <c r="Q125" s="237" t="n"/>
      <c r="R125" s="237" t="n"/>
      <c r="S125" s="237" t="n"/>
      <c r="T125" s="237" t="n"/>
      <c r="U125" s="237" t="n"/>
      <c r="V125" s="237" t="n"/>
      <c r="W125" s="237" t="n"/>
      <c r="X125" s="237" t="n"/>
      <c r="Y125" s="237" t="n"/>
      <c r="Z125" s="240" t="n">
        <v>19494</v>
      </c>
      <c r="AA125" s="237" t="n"/>
      <c r="AB125" s="245" t="n">
        <v/>
      </c>
      <c r="AC125" s="237" t="inlineStr">
        <is>
          <t>Elaine Balbuena</t>
        </is>
      </c>
      <c r="AD125" s="237" t="n"/>
      <c r="AE125" s="237" t="n"/>
      <c r="AF125" s="237" t="n"/>
      <c r="AG125" s="237" t="n"/>
      <c r="AH125" s="237" t="n"/>
      <c r="AI125" s="237" t="n"/>
      <c r="AJ125" s="237" t="n"/>
      <c r="AK125" s="237" t="n"/>
      <c r="AL125" s="237" t="n"/>
      <c r="AM125" s="237" t="n"/>
      <c r="AN125" s="237" t="n"/>
      <c r="AO125" s="237" t="n"/>
      <c r="AP125" s="237" t="n"/>
      <c r="AQ125" s="237" t="n"/>
      <c r="AR125" s="237" t="n"/>
      <c r="AS125" s="237" t="n"/>
      <c r="AT125" s="237" t="n"/>
      <c r="AU125" s="237" t="n"/>
      <c r="AV125" s="237" t="n"/>
      <c r="AW125" s="237" t="n"/>
      <c r="AX125" s="237" t="n"/>
      <c r="AY125" s="237" t="n"/>
      <c r="AZ125" s="237" t="n"/>
      <c r="BA125" s="237" t="n"/>
      <c r="BB125" s="237" t="n"/>
      <c r="BC125" s="237" t="n"/>
      <c r="BD125" s="237" t="n"/>
      <c r="BE125" s="237" t="n"/>
      <c r="BF125" s="237" t="n"/>
      <c r="BG125" s="237" t="n"/>
      <c r="BH125" s="237" t="n"/>
      <c r="BI125" s="237" t="n"/>
      <c r="BJ125" s="237" t="n"/>
      <c r="BK125" s="237" t="n"/>
      <c r="BL125" s="237" t="n"/>
      <c r="BM125" s="237" t="n"/>
      <c r="BN125" s="237" t="n"/>
      <c r="BO125" s="237" t="n"/>
      <c r="BP125" s="237" t="n"/>
      <c r="BQ125" s="237" t="n"/>
      <c r="BR125" s="237" t="n"/>
      <c r="BS125" s="237" t="n"/>
      <c r="BT125" s="237" t="n"/>
      <c r="BU125" s="237" t="n"/>
      <c r="BV125" s="237" t="n"/>
      <c r="BW125" s="237" t="n"/>
      <c r="BX125" s="237" t="n"/>
      <c r="BY125" s="237" t="n"/>
      <c r="BZ125" s="237" t="n"/>
      <c r="CA125" s="237" t="n"/>
      <c r="CB125" s="237" t="n"/>
      <c r="CC125" s="237" t="n"/>
      <c r="CD125" s="237" t="n"/>
      <c r="CE125" s="237" t="n"/>
      <c r="CF125" s="237" t="n"/>
      <c r="CG125" s="237" t="n"/>
      <c r="CH125" s="237" t="n"/>
      <c r="CI125" s="237" t="n"/>
    </row>
    <row r="126" ht="14" customFormat="1" customHeight="1" s="248">
      <c r="A126" s="237" t="n">
        <v>117</v>
      </c>
      <c r="B126" s="237" t="inlineStr">
        <is>
          <t>P6066</t>
        </is>
      </c>
      <c r="C126" s="237" t="inlineStr">
        <is>
          <t>YNZJH</t>
        </is>
      </c>
      <c r="E126" s="239" t="inlineStr">
        <is>
          <t>4/24/2026</t>
        </is>
      </c>
      <c r="F126" s="237" t="inlineStr">
        <is>
          <t>LMS Training</t>
        </is>
      </c>
      <c r="G126" s="237" t="inlineStr">
        <is>
          <t>Offering of Greater China Excom Learning Day (Chinese)</t>
        </is>
      </c>
      <c r="H126" s="237" t="inlineStr">
        <is>
          <t>CNY</t>
        </is>
      </c>
      <c r="I126" s="237" t="n">
        <v>2120</v>
      </c>
      <c r="J126" s="237" t="n"/>
      <c r="K126" s="237" t="n">
        <v>73576</v>
      </c>
      <c r="L126" s="237" t="n"/>
      <c r="M126" s="237" t="n"/>
      <c r="N126" s="237" t="n"/>
      <c r="O126" s="237" t="inlineStr">
        <is>
          <t>Offering of Greater China Excom Learning Day (Chinese)</t>
        </is>
      </c>
      <c r="P126" s="237" t="n"/>
      <c r="Q126" s="237" t="n"/>
      <c r="R126" s="237" t="n"/>
      <c r="S126" s="237" t="n"/>
      <c r="T126" s="237" t="n"/>
      <c r="U126" s="237" t="n"/>
      <c r="V126" s="237" t="n"/>
      <c r="W126" s="237" t="n"/>
      <c r="X126" s="237" t="n"/>
      <c r="Y126" s="237" t="n"/>
      <c r="Z126" s="240" t="n">
        <v>19777</v>
      </c>
      <c r="AA126" s="237" t="n"/>
      <c r="AB126" s="245" t="inlineStr">
        <is>
          <t>3/17/2026</t>
        </is>
      </c>
      <c r="AC126" s="237" t="inlineStr">
        <is>
          <t>jianfei chen</t>
        </is>
      </c>
      <c r="AD126" s="237" t="n"/>
      <c r="AE126" s="237" t="n"/>
      <c r="AF126" s="237" t="n"/>
      <c r="AG126" s="237" t="n"/>
      <c r="AH126" s="237" t="n"/>
      <c r="AI126" s="237" t="n"/>
      <c r="AJ126" s="237" t="n"/>
      <c r="AK126" s="237" t="n"/>
      <c r="AL126" s="237" t="n"/>
      <c r="AM126" s="237" t="n"/>
      <c r="AN126" s="237" t="n"/>
      <c r="AO126" s="237" t="n"/>
      <c r="AP126" s="237" t="n"/>
      <c r="AQ126" s="237" t="n"/>
      <c r="AR126" s="237" t="n"/>
      <c r="AS126" s="237" t="n"/>
      <c r="AT126" s="237" t="n"/>
      <c r="AU126" s="237" t="n"/>
      <c r="AV126" s="237" t="n"/>
      <c r="AW126" s="237" t="n"/>
      <c r="AX126" s="237" t="n"/>
      <c r="AY126" s="237" t="n"/>
      <c r="AZ126" s="237" t="n"/>
      <c r="BA126" s="237" t="n"/>
      <c r="BB126" s="237" t="n"/>
      <c r="BC126" s="237" t="n"/>
      <c r="BD126" s="237" t="n"/>
      <c r="BE126" s="237" t="n"/>
      <c r="BF126" s="237" t="n"/>
      <c r="BG126" s="237" t="n"/>
      <c r="BH126" s="237" t="n"/>
      <c r="BI126" s="237" t="n"/>
      <c r="BJ126" s="237" t="n"/>
      <c r="BK126" s="237" t="n"/>
      <c r="BL126" s="237" t="n"/>
      <c r="BM126" s="237" t="n"/>
      <c r="BN126" s="237" t="n"/>
      <c r="BO126" s="237" t="n"/>
      <c r="BP126" s="237" t="n"/>
      <c r="BQ126" s="237" t="n"/>
      <c r="BR126" s="237" t="n"/>
      <c r="BS126" s="237" t="n"/>
      <c r="BT126" s="237" t="n"/>
      <c r="BU126" s="237" t="n"/>
      <c r="BV126" s="237" t="n"/>
      <c r="BW126" s="237" t="n"/>
      <c r="BX126" s="237" t="n"/>
      <c r="BY126" s="237" t="n"/>
      <c r="BZ126" s="237" t="n"/>
      <c r="CA126" s="237" t="n"/>
      <c r="CB126" s="237" t="n"/>
      <c r="CC126" s="237" t="n"/>
      <c r="CD126" s="237" t="n"/>
      <c r="CE126" s="237" t="n"/>
      <c r="CF126" s="237" t="n"/>
      <c r="CG126" s="237" t="n"/>
      <c r="CH126" s="237" t="n"/>
      <c r="CI126" s="237" t="n"/>
    </row>
    <row r="127" ht="14" customFormat="1" customHeight="1" s="248">
      <c r="A127" s="237" t="n">
        <v>118</v>
      </c>
      <c r="B127" s="237" t="inlineStr">
        <is>
          <t>P6066</t>
        </is>
      </c>
      <c r="C127" s="237" t="inlineStr">
        <is>
          <t>HGHTH</t>
        </is>
      </c>
      <c r="E127" s="239" t="inlineStr">
        <is>
          <t>4/24/2026</t>
        </is>
      </c>
      <c r="F127" s="237" t="inlineStr">
        <is>
          <t>LMS Training</t>
        </is>
      </c>
      <c r="G127" s="237" t="inlineStr">
        <is>
          <t>Offering of Training Needs Diagnosis (Lead Business-Driven Training) (Chinese)</t>
        </is>
      </c>
      <c r="H127" s="237" t="inlineStr">
        <is>
          <t>CNY</t>
        </is>
      </c>
      <c r="I127" s="237" t="n">
        <v>2120</v>
      </c>
      <c r="J127" s="237" t="n"/>
      <c r="K127" s="237" t="n">
        <v>73576</v>
      </c>
      <c r="L127" s="237" t="n"/>
      <c r="M127" s="237" t="n"/>
      <c r="N127" s="237" t="n"/>
      <c r="O127" s="237" t="inlineStr">
        <is>
          <t>Offering of Training Needs Diagnosis (Lead Business-Driven Training) (Chinese)</t>
        </is>
      </c>
      <c r="P127" s="237" t="n"/>
      <c r="Q127" s="237" t="n"/>
      <c r="R127" s="237" t="n"/>
      <c r="S127" s="237" t="n"/>
      <c r="T127" s="237" t="n"/>
      <c r="U127" s="237" t="n"/>
      <c r="V127" s="237" t="n"/>
      <c r="W127" s="237" t="n"/>
      <c r="X127" s="237" t="n"/>
      <c r="Y127" s="237" t="n"/>
      <c r="Z127" s="240" t="n">
        <v>20054</v>
      </c>
      <c r="AA127" s="237" t="n"/>
      <c r="AB127" s="245" t="inlineStr">
        <is>
          <t>3/26/2026</t>
        </is>
      </c>
      <c r="AC127" s="237" t="inlineStr">
        <is>
          <t>Aimee Xu</t>
        </is>
      </c>
      <c r="AD127" s="237" t="n"/>
      <c r="AE127" s="237" t="n"/>
      <c r="AF127" s="237" t="n"/>
      <c r="AG127" s="237" t="n"/>
      <c r="AH127" s="237" t="n"/>
      <c r="AI127" s="237" t="n"/>
      <c r="AJ127" s="237" t="n"/>
      <c r="AK127" s="237" t="n"/>
      <c r="AL127" s="237" t="n"/>
      <c r="AM127" s="237" t="n"/>
      <c r="AN127" s="237" t="n"/>
      <c r="AO127" s="237" t="n"/>
      <c r="AP127" s="237" t="n"/>
      <c r="AQ127" s="237" t="n"/>
      <c r="AR127" s="237" t="n"/>
      <c r="AS127" s="237" t="n"/>
      <c r="AT127" s="237" t="n"/>
      <c r="AU127" s="237" t="n"/>
      <c r="AV127" s="237" t="n"/>
      <c r="AW127" s="237" t="n"/>
      <c r="AX127" s="237" t="n"/>
      <c r="AY127" s="237" t="n"/>
      <c r="AZ127" s="237" t="n"/>
      <c r="BA127" s="237" t="n"/>
      <c r="BB127" s="237" t="n"/>
      <c r="BC127" s="237" t="n"/>
      <c r="BD127" s="237" t="n"/>
      <c r="BE127" s="237" t="n"/>
      <c r="BF127" s="237" t="n"/>
      <c r="BG127" s="237" t="n"/>
      <c r="BH127" s="237" t="n"/>
      <c r="BI127" s="237" t="n"/>
      <c r="BJ127" s="237" t="n"/>
      <c r="BK127" s="237" t="n"/>
      <c r="BL127" s="237" t="n"/>
      <c r="BM127" s="237" t="n"/>
      <c r="BN127" s="237" t="n"/>
      <c r="BO127" s="237" t="n"/>
      <c r="BP127" s="237" t="n"/>
      <c r="BQ127" s="237" t="n"/>
      <c r="BR127" s="237" t="n"/>
      <c r="BS127" s="237" t="n"/>
      <c r="BT127" s="237" t="n"/>
      <c r="BU127" s="237" t="n"/>
      <c r="BV127" s="237" t="n"/>
      <c r="BW127" s="237" t="n"/>
      <c r="BX127" s="237" t="n"/>
      <c r="BY127" s="237" t="n"/>
      <c r="BZ127" s="237" t="n"/>
      <c r="CA127" s="237" t="n"/>
      <c r="CB127" s="237" t="n"/>
      <c r="CC127" s="237" t="n"/>
      <c r="CD127" s="237" t="n"/>
      <c r="CE127" s="237" t="n"/>
      <c r="CF127" s="237" t="n"/>
      <c r="CG127" s="237" t="n"/>
      <c r="CH127" s="237" t="n"/>
      <c r="CI127" s="237" t="n"/>
    </row>
    <row r="128" ht="14" customFormat="1" customHeight="1" s="248">
      <c r="A128" s="237" t="n">
        <v>119</v>
      </c>
      <c r="B128" s="237" t="inlineStr">
        <is>
          <t>P6066</t>
        </is>
      </c>
      <c r="C128" s="237" t="inlineStr">
        <is>
          <t>NKGRS</t>
        </is>
      </c>
      <c r="E128" s="239" t="inlineStr">
        <is>
          <t>4/24/2026</t>
        </is>
      </c>
      <c r="F128" s="237" t="inlineStr">
        <is>
          <t>LMS Training</t>
        </is>
      </c>
      <c r="G128" s="237" t="inlineStr">
        <is>
          <t>Offering of Training Needs Diagnosis (Lead Business-Driven Training) (Chinese)</t>
        </is>
      </c>
      <c r="H128" s="237" t="inlineStr">
        <is>
          <t>CNY</t>
        </is>
      </c>
      <c r="I128" s="237" t="n">
        <v>2120</v>
      </c>
      <c r="J128" s="237" t="n"/>
      <c r="K128" s="237" t="n">
        <v>73576</v>
      </c>
      <c r="L128" s="237" t="n"/>
      <c r="M128" s="237" t="n"/>
      <c r="N128" s="237" t="n"/>
      <c r="O128" s="237" t="inlineStr">
        <is>
          <t>Offering of Training Needs Diagnosis (Lead Business-Driven Training) (Chinese)</t>
        </is>
      </c>
      <c r="P128" s="237" t="n"/>
      <c r="Q128" s="237" t="n"/>
      <c r="R128" s="237" t="n"/>
      <c r="S128" s="237" t="n"/>
      <c r="T128" s="237" t="n"/>
      <c r="U128" s="237" t="n"/>
      <c r="V128" s="237" t="n"/>
      <c r="W128" s="237" t="n"/>
      <c r="X128" s="237" t="n"/>
      <c r="Y128" s="237" t="n"/>
      <c r="Z128" s="240" t="n">
        <v>20057</v>
      </c>
      <c r="AA128" s="237" t="n"/>
      <c r="AB128" s="245" t="inlineStr">
        <is>
          <t>3/26/2026</t>
        </is>
      </c>
      <c r="AC128" s="237" t="inlineStr">
        <is>
          <t>Louis Wang</t>
        </is>
      </c>
      <c r="AD128" s="237" t="n"/>
      <c r="AE128" s="237" t="n"/>
      <c r="AF128" s="237" t="n"/>
      <c r="AG128" s="237" t="n"/>
      <c r="AH128" s="237" t="n"/>
      <c r="AI128" s="237" t="n"/>
      <c r="AJ128" s="237" t="n"/>
      <c r="AK128" s="237" t="n"/>
      <c r="AL128" s="237" t="n"/>
      <c r="AM128" s="237" t="n"/>
      <c r="AN128" s="237" t="n"/>
      <c r="AO128" s="237" t="n"/>
      <c r="AP128" s="237" t="n"/>
      <c r="AQ128" s="237" t="n"/>
      <c r="AR128" s="237" t="n"/>
      <c r="AS128" s="237" t="n"/>
      <c r="AT128" s="237" t="n"/>
      <c r="AU128" s="237" t="n"/>
      <c r="AV128" s="237" t="n"/>
      <c r="AW128" s="237" t="n"/>
      <c r="AX128" s="237" t="n"/>
      <c r="AY128" s="237" t="n"/>
      <c r="AZ128" s="237" t="n"/>
      <c r="BA128" s="237" t="n"/>
      <c r="BB128" s="237" t="n"/>
      <c r="BC128" s="237" t="n"/>
      <c r="BD128" s="237" t="n"/>
      <c r="BE128" s="237" t="n"/>
      <c r="BF128" s="237" t="n"/>
      <c r="BG128" s="237" t="n"/>
      <c r="BH128" s="237" t="n"/>
      <c r="BI128" s="237" t="n"/>
      <c r="BJ128" s="237" t="n"/>
      <c r="BK128" s="237" t="n"/>
      <c r="BL128" s="237" t="n"/>
      <c r="BM128" s="237" t="n"/>
      <c r="BN128" s="237" t="n"/>
      <c r="BO128" s="237" t="n"/>
      <c r="BP128" s="237" t="n"/>
      <c r="BQ128" s="237" t="n"/>
      <c r="BR128" s="237" t="n"/>
      <c r="BS128" s="237" t="n"/>
      <c r="BT128" s="237" t="n"/>
      <c r="BU128" s="237" t="n"/>
      <c r="BV128" s="237" t="n"/>
      <c r="BW128" s="237" t="n"/>
      <c r="BX128" s="237" t="n"/>
      <c r="BY128" s="237" t="n"/>
      <c r="BZ128" s="237" t="n"/>
      <c r="CA128" s="237" t="n"/>
      <c r="CB128" s="237" t="n"/>
      <c r="CC128" s="237" t="n"/>
      <c r="CD128" s="237" t="n"/>
      <c r="CE128" s="237" t="n"/>
      <c r="CF128" s="237" t="n"/>
      <c r="CG128" s="237" t="n"/>
      <c r="CH128" s="237" t="n"/>
      <c r="CI128" s="237" t="n"/>
    </row>
    <row r="129" ht="14" customFormat="1" customHeight="1" s="248">
      <c r="A129" s="237" t="n">
        <v>120</v>
      </c>
      <c r="B129" s="237" t="inlineStr">
        <is>
          <t>P5016</t>
        </is>
      </c>
      <c r="C129" s="237" t="inlineStr">
        <is>
          <t>DPSBH</t>
        </is>
      </c>
      <c r="E129" s="239" t="inlineStr">
        <is>
          <t>4/24/2026</t>
        </is>
      </c>
      <c r="F129" s="237" t="inlineStr">
        <is>
          <t>LMS Training</t>
        </is>
      </c>
      <c r="G129" s="237" t="inlineStr">
        <is>
          <t>Change Management for Managers</t>
        </is>
      </c>
      <c r="H129" s="237" t="inlineStr">
        <is>
          <t>USD</t>
        </is>
      </c>
      <c r="I129" s="237" t="n">
        <v>30</v>
      </c>
      <c r="J129" s="237" t="n"/>
      <c r="K129" s="237" t="n">
        <v>70256</v>
      </c>
      <c r="L129" s="237" t="n"/>
      <c r="M129" s="237" t="n"/>
      <c r="N129" s="237" t="n"/>
      <c r="O129" s="237" t="inlineStr">
        <is>
          <t>Change Management for Managers</t>
        </is>
      </c>
      <c r="P129" s="237" t="n"/>
      <c r="Q129" s="237" t="n"/>
      <c r="R129" s="237" t="n"/>
      <c r="S129" s="237" t="n"/>
      <c r="T129" s="237" t="n"/>
      <c r="U129" s="237" t="n"/>
      <c r="V129" s="237" t="n"/>
      <c r="W129" s="237" t="n"/>
      <c r="X129" s="237" t="n"/>
      <c r="Y129" s="237" t="n"/>
      <c r="Z129" s="240" t="n">
        <v>156281127</v>
      </c>
      <c r="AA129" s="237" t="n"/>
      <c r="AB129" s="245" t="n">
        <v/>
      </c>
      <c r="AC129" s="237" t="inlineStr">
        <is>
          <t>I Putu Anjiska Pratama Jaya</t>
        </is>
      </c>
      <c r="AD129" s="237" t="n"/>
      <c r="AE129" s="237" t="n"/>
      <c r="AF129" s="237" t="n"/>
      <c r="AG129" s="237" t="n"/>
      <c r="AH129" s="237" t="n"/>
      <c r="AI129" s="237" t="n"/>
      <c r="AJ129" s="237" t="n"/>
      <c r="AK129" s="237" t="n"/>
      <c r="AL129" s="237" t="n"/>
      <c r="AM129" s="237" t="n"/>
      <c r="AN129" s="237" t="n"/>
      <c r="AO129" s="237" t="n"/>
      <c r="AP129" s="237" t="n"/>
      <c r="AQ129" s="237" t="n"/>
      <c r="AR129" s="237" t="n"/>
      <c r="AS129" s="237" t="n"/>
      <c r="AT129" s="237" t="n"/>
      <c r="AU129" s="237" t="n"/>
      <c r="AV129" s="237" t="n"/>
      <c r="AW129" s="237" t="n"/>
      <c r="AX129" s="237" t="n"/>
      <c r="AY129" s="237" t="n"/>
      <c r="AZ129" s="237" t="n"/>
      <c r="BA129" s="237" t="n"/>
      <c r="BB129" s="237" t="n"/>
      <c r="BC129" s="237" t="n"/>
      <c r="BD129" s="237" t="n"/>
      <c r="BE129" s="237" t="n"/>
      <c r="BF129" s="237" t="n"/>
      <c r="BG129" s="237" t="n"/>
      <c r="BH129" s="237" t="n"/>
      <c r="BI129" s="237" t="n"/>
      <c r="BJ129" s="237" t="n"/>
      <c r="BK129" s="237" t="n"/>
      <c r="BL129" s="237" t="n"/>
      <c r="BM129" s="237" t="n"/>
      <c r="BN129" s="237" t="n"/>
      <c r="BO129" s="237" t="n"/>
      <c r="BP129" s="237" t="n"/>
      <c r="BQ129" s="237" t="n"/>
      <c r="BR129" s="237" t="n"/>
      <c r="BS129" s="237" t="n"/>
      <c r="BT129" s="237" t="n"/>
      <c r="BU129" s="237" t="n"/>
      <c r="BV129" s="237" t="n"/>
      <c r="BW129" s="237" t="n"/>
      <c r="BX129" s="237" t="n"/>
      <c r="BY129" s="237" t="n"/>
      <c r="BZ129" s="237" t="n"/>
      <c r="CA129" s="237" t="n"/>
      <c r="CB129" s="237" t="n"/>
      <c r="CC129" s="237" t="n"/>
      <c r="CD129" s="237" t="n"/>
      <c r="CE129" s="237" t="n"/>
      <c r="CF129" s="237" t="n"/>
      <c r="CG129" s="237" t="n"/>
      <c r="CH129" s="237" t="n"/>
      <c r="CI129" s="237" t="n"/>
    </row>
    <row r="130" ht="14" customFormat="1" customHeight="1" s="248">
      <c r="A130" s="237" t="n">
        <v>121</v>
      </c>
      <c r="B130" s="237" t="inlineStr">
        <is>
          <t>P5016</t>
        </is>
      </c>
      <c r="C130" s="237" t="inlineStr">
        <is>
          <t>SINCP</t>
        </is>
      </c>
      <c r="E130" s="239" t="inlineStr">
        <is>
          <t>4/24/2026</t>
        </is>
      </c>
      <c r="F130" s="237" t="inlineStr">
        <is>
          <t>LMS Training</t>
        </is>
      </c>
      <c r="G130" s="237" t="inlineStr">
        <is>
          <t>Change Management for Supervisors</t>
        </is>
      </c>
      <c r="H130" s="237" t="inlineStr">
        <is>
          <t>USD</t>
        </is>
      </c>
      <c r="I130" s="237" t="n">
        <v>60</v>
      </c>
      <c r="J130" s="237" t="n"/>
      <c r="K130" s="237" t="n">
        <v>70256</v>
      </c>
      <c r="L130" s="237" t="n"/>
      <c r="M130" s="237" t="n"/>
      <c r="N130" s="237" t="n"/>
      <c r="O130" s="237" t="inlineStr">
        <is>
          <t>Change Management for Supervisors</t>
        </is>
      </c>
      <c r="P130" s="237" t="n"/>
      <c r="Q130" s="237" t="n"/>
      <c r="R130" s="237" t="n"/>
      <c r="S130" s="237" t="n"/>
      <c r="T130" s="237" t="n"/>
      <c r="U130" s="237" t="n"/>
      <c r="V130" s="237" t="n"/>
      <c r="W130" s="237" t="n"/>
      <c r="X130" s="237" t="n"/>
      <c r="Y130" s="237" t="n"/>
      <c r="Z130" s="240" t="n">
        <v>19967</v>
      </c>
      <c r="AA130" s="237" t="n"/>
      <c r="AB130" s="245" t="n">
        <v/>
      </c>
      <c r="AC130" s="237" t="inlineStr">
        <is>
          <t>Romero Jose Luis De Leon</t>
        </is>
      </c>
      <c r="AD130" s="237" t="n"/>
      <c r="AE130" s="237" t="n"/>
      <c r="AF130" s="237" t="n"/>
      <c r="AG130" s="237" t="n"/>
      <c r="AH130" s="237" t="n"/>
      <c r="AI130" s="237" t="n"/>
      <c r="AJ130" s="237" t="n"/>
      <c r="AK130" s="237" t="n"/>
      <c r="AL130" s="237" t="n"/>
      <c r="AM130" s="237" t="n"/>
      <c r="AN130" s="237" t="n"/>
      <c r="AO130" s="237" t="n"/>
      <c r="AP130" s="237" t="n"/>
      <c r="AQ130" s="237" t="n"/>
      <c r="AR130" s="237" t="n"/>
      <c r="AS130" s="237" t="n"/>
      <c r="AT130" s="237" t="n"/>
      <c r="AU130" s="237" t="n"/>
      <c r="AV130" s="237" t="n"/>
      <c r="AW130" s="237" t="n"/>
      <c r="AX130" s="237" t="n"/>
      <c r="AY130" s="237" t="n"/>
      <c r="AZ130" s="237" t="n"/>
      <c r="BA130" s="237" t="n"/>
      <c r="BB130" s="237" t="n"/>
      <c r="BC130" s="237" t="n"/>
      <c r="BD130" s="237" t="n"/>
      <c r="BE130" s="237" t="n"/>
      <c r="BF130" s="237" t="n"/>
      <c r="BG130" s="237" t="n"/>
      <c r="BH130" s="237" t="n"/>
      <c r="BI130" s="237" t="n"/>
      <c r="BJ130" s="237" t="n"/>
      <c r="BK130" s="237" t="n"/>
      <c r="BL130" s="237" t="n"/>
      <c r="BM130" s="237" t="n"/>
      <c r="BN130" s="237" t="n"/>
      <c r="BO130" s="237" t="n"/>
      <c r="BP130" s="237" t="n"/>
      <c r="BQ130" s="237" t="n"/>
      <c r="BR130" s="237" t="n"/>
      <c r="BS130" s="237" t="n"/>
      <c r="BT130" s="237" t="n"/>
      <c r="BU130" s="237" t="n"/>
      <c r="BV130" s="237" t="n"/>
      <c r="BW130" s="237" t="n"/>
      <c r="BX130" s="237" t="n"/>
      <c r="BY130" s="237" t="n"/>
      <c r="BZ130" s="237" t="n"/>
      <c r="CA130" s="237" t="n"/>
      <c r="CB130" s="237" t="n"/>
      <c r="CC130" s="237" t="n"/>
      <c r="CD130" s="237" t="n"/>
      <c r="CE130" s="237" t="n"/>
      <c r="CF130" s="237" t="n"/>
      <c r="CG130" s="237" t="n"/>
      <c r="CH130" s="237" t="n"/>
      <c r="CI130" s="237" t="n"/>
    </row>
    <row r="131" ht="14" customFormat="1" customHeight="1" s="248">
      <c r="A131" s="237" t="n">
        <v>122</v>
      </c>
      <c r="B131" s="237" t="inlineStr">
        <is>
          <t>P5016</t>
        </is>
      </c>
      <c r="C131" s="237" t="inlineStr">
        <is>
          <t>CNXWC</t>
        </is>
      </c>
      <c r="E131" s="239" t="inlineStr">
        <is>
          <t>4/24/2026</t>
        </is>
      </c>
      <c r="F131" s="237" t="inlineStr">
        <is>
          <t>LMS Training</t>
        </is>
      </c>
      <c r="G131" s="237" t="inlineStr">
        <is>
          <t>Offering of IHG Way of Sales - Effective Sales Negotiations</t>
        </is>
      </c>
      <c r="H131" s="237" t="inlineStr">
        <is>
          <t>USD</t>
        </is>
      </c>
      <c r="I131" s="237" t="n">
        <v>375</v>
      </c>
      <c r="J131" s="237" t="n"/>
      <c r="K131" s="237" t="n">
        <v>76615</v>
      </c>
      <c r="L131" s="237" t="n"/>
      <c r="M131" s="237" t="n"/>
      <c r="N131" s="237" t="n"/>
      <c r="O131" s="237" t="inlineStr">
        <is>
          <t>Offering of IHG Way of Sales - Effective Sales Negotiations</t>
        </is>
      </c>
      <c r="P131" s="237" t="n"/>
      <c r="Q131" s="237" t="n"/>
      <c r="R131" s="237" t="n"/>
      <c r="S131" s="237" t="n"/>
      <c r="T131" s="237" t="n"/>
      <c r="U131" s="237" t="n"/>
      <c r="V131" s="237" t="n"/>
      <c r="W131" s="237" t="n"/>
      <c r="X131" s="237" t="n"/>
      <c r="Y131" s="237" t="n"/>
      <c r="Z131" s="240" t="n">
        <v>19228</v>
      </c>
      <c r="AA131" s="237" t="n"/>
      <c r="AB131" s="245" t="inlineStr">
        <is>
          <t>3/25/2026</t>
        </is>
      </c>
      <c r="AC131" s="237" t="inlineStr">
        <is>
          <t>Punyawee Janthiang</t>
        </is>
      </c>
      <c r="AD131" s="237" t="n"/>
      <c r="AE131" s="237" t="n"/>
      <c r="AF131" s="237" t="n"/>
      <c r="AG131" s="237" t="n"/>
      <c r="AH131" s="237" t="n"/>
      <c r="AI131" s="237" t="n"/>
      <c r="AJ131" s="237" t="n"/>
      <c r="AK131" s="237" t="n"/>
      <c r="AL131" s="237" t="n"/>
      <c r="AM131" s="237" t="n"/>
      <c r="AN131" s="237" t="n"/>
      <c r="AO131" s="237" t="n"/>
      <c r="AP131" s="237" t="n"/>
      <c r="AQ131" s="237" t="n"/>
      <c r="AR131" s="237" t="n"/>
      <c r="AS131" s="237" t="n"/>
      <c r="AT131" s="237" t="n"/>
      <c r="AU131" s="237" t="n"/>
      <c r="AV131" s="237" t="n"/>
      <c r="AW131" s="237" t="n"/>
      <c r="AX131" s="237" t="n"/>
      <c r="AY131" s="237" t="n"/>
      <c r="AZ131" s="237" t="n"/>
      <c r="BA131" s="237" t="n"/>
      <c r="BB131" s="237" t="n"/>
      <c r="BC131" s="237" t="n"/>
      <c r="BD131" s="237" t="n"/>
      <c r="BE131" s="237" t="n"/>
      <c r="BF131" s="237" t="n"/>
      <c r="BG131" s="237" t="n"/>
      <c r="BH131" s="237" t="n"/>
      <c r="BI131" s="237" t="n"/>
      <c r="BJ131" s="237" t="n"/>
      <c r="BK131" s="237" t="n"/>
      <c r="BL131" s="237" t="n"/>
      <c r="BM131" s="237" t="n"/>
      <c r="BN131" s="237" t="n"/>
      <c r="BO131" s="237" t="n"/>
      <c r="BP131" s="237" t="n"/>
      <c r="BQ131" s="237" t="n"/>
      <c r="BR131" s="237" t="n"/>
      <c r="BS131" s="237" t="n"/>
      <c r="BT131" s="237" t="n"/>
      <c r="BU131" s="237" t="n"/>
      <c r="BV131" s="237" t="n"/>
      <c r="BW131" s="237" t="n"/>
      <c r="BX131" s="237" t="n"/>
      <c r="BY131" s="237" t="n"/>
      <c r="BZ131" s="237" t="n"/>
      <c r="CA131" s="237" t="n"/>
      <c r="CB131" s="237" t="n"/>
      <c r="CC131" s="237" t="n"/>
      <c r="CD131" s="237" t="n"/>
      <c r="CE131" s="237" t="n"/>
      <c r="CF131" s="237" t="n"/>
      <c r="CG131" s="237" t="n"/>
      <c r="CH131" s="237" t="n"/>
      <c r="CI131" s="237" t="n"/>
    </row>
    <row r="132" ht="14" customFormat="1" customHeight="1" s="248">
      <c r="A132" s="237" t="n">
        <v>123</v>
      </c>
      <c r="B132" s="237" t="inlineStr">
        <is>
          <t>P6022</t>
        </is>
      </c>
      <c r="C132" s="237" t="inlineStr">
        <is>
          <t>BKKRT</t>
        </is>
      </c>
      <c r="E132" s="239" t="inlineStr">
        <is>
          <t>4/24/2026</t>
        </is>
      </c>
      <c r="F132" s="237" t="inlineStr">
        <is>
          <t>LMS Training</t>
        </is>
      </c>
      <c r="G132" s="237" t="inlineStr">
        <is>
          <t>Offering of Departmental Trainer Programme (Thai)</t>
        </is>
      </c>
      <c r="H132" s="237" t="inlineStr">
        <is>
          <t>USD</t>
        </is>
      </c>
      <c r="I132" s="237" t="n">
        <v>50</v>
      </c>
      <c r="J132" s="237" t="n"/>
      <c r="K132" s="237" t="n">
        <v>73168</v>
      </c>
      <c r="L132" s="237" t="n"/>
      <c r="M132" s="237" t="n"/>
      <c r="N132" s="237" t="n"/>
      <c r="O132" s="237" t="inlineStr">
        <is>
          <t>Offering of Departmental Trainer Programme (Thai)</t>
        </is>
      </c>
      <c r="P132" s="237" t="n"/>
      <c r="Q132" s="237" t="n"/>
      <c r="R132" s="237" t="n"/>
      <c r="S132" s="237" t="n"/>
      <c r="T132" s="237" t="n"/>
      <c r="U132" s="237" t="n"/>
      <c r="V132" s="237" t="n"/>
      <c r="W132" s="237" t="n"/>
      <c r="X132" s="237" t="n"/>
      <c r="Y132" s="237" t="n"/>
      <c r="Z132" s="240" t="n">
        <v>151669752</v>
      </c>
      <c r="AA132" s="237" t="n"/>
      <c r="AB132" s="245" t="inlineStr">
        <is>
          <t>2/10/2026</t>
        </is>
      </c>
      <c r="AC132" s="237" t="inlineStr">
        <is>
          <t>Nitchakarn Sumranwanich</t>
        </is>
      </c>
      <c r="AD132" s="237" t="n"/>
      <c r="AE132" s="237" t="n"/>
      <c r="AF132" s="237" t="n"/>
      <c r="AG132" s="237" t="n"/>
      <c r="AH132" s="237" t="n"/>
      <c r="AI132" s="237" t="n"/>
      <c r="AJ132" s="237" t="n"/>
      <c r="AK132" s="237" t="n"/>
      <c r="AL132" s="237" t="n"/>
      <c r="AM132" s="237" t="n"/>
      <c r="AN132" s="237" t="n"/>
      <c r="AO132" s="237" t="n"/>
      <c r="AP132" s="237" t="n"/>
      <c r="AQ132" s="237" t="n"/>
      <c r="AR132" s="237" t="n"/>
      <c r="AS132" s="237" t="n"/>
      <c r="AT132" s="237" t="n"/>
      <c r="AU132" s="237" t="n"/>
      <c r="AV132" s="237" t="n"/>
      <c r="AW132" s="237" t="n"/>
      <c r="AX132" s="237" t="n"/>
      <c r="AY132" s="237" t="n"/>
      <c r="AZ132" s="237" t="n"/>
      <c r="BA132" s="237" t="n"/>
      <c r="BB132" s="237" t="n"/>
      <c r="BC132" s="237" t="n"/>
      <c r="BD132" s="237" t="n"/>
      <c r="BE132" s="237" t="n"/>
      <c r="BF132" s="237" t="n"/>
      <c r="BG132" s="237" t="n"/>
      <c r="BH132" s="237" t="n"/>
      <c r="BI132" s="237" t="n"/>
      <c r="BJ132" s="237" t="n"/>
      <c r="BK132" s="237" t="n"/>
      <c r="BL132" s="237" t="n"/>
      <c r="BM132" s="237" t="n"/>
      <c r="BN132" s="237" t="n"/>
      <c r="BO132" s="237" t="n"/>
      <c r="BP132" s="237" t="n"/>
      <c r="BQ132" s="237" t="n"/>
      <c r="BR132" s="237" t="n"/>
      <c r="BS132" s="237" t="n"/>
      <c r="BT132" s="237" t="n"/>
      <c r="BU132" s="237" t="n"/>
      <c r="BV132" s="237" t="n"/>
      <c r="BW132" s="237" t="n"/>
      <c r="BX132" s="237" t="n"/>
      <c r="BY132" s="237" t="n"/>
      <c r="BZ132" s="237" t="n"/>
      <c r="CA132" s="237" t="n"/>
      <c r="CB132" s="237" t="n"/>
      <c r="CC132" s="237" t="n"/>
      <c r="CD132" s="237" t="n"/>
      <c r="CE132" s="237" t="n"/>
      <c r="CF132" s="237" t="n"/>
      <c r="CG132" s="237" t="n"/>
      <c r="CH132" s="237" t="n"/>
      <c r="CI132" s="237" t="n"/>
    </row>
    <row r="133" ht="14" customFormat="1" customHeight="1" s="248">
      <c r="A133" s="237" t="n">
        <v>124</v>
      </c>
      <c r="B133" s="237" t="inlineStr">
        <is>
          <t>P5016</t>
        </is>
      </c>
      <c r="C133" s="237" t="inlineStr">
        <is>
          <t>MNLBA</t>
        </is>
      </c>
      <c r="E133" s="239" t="inlineStr">
        <is>
          <t>4/24/2026</t>
        </is>
      </c>
      <c r="F133" s="237" t="inlineStr">
        <is>
          <t>LMS Training</t>
        </is>
      </c>
      <c r="G133" s="237" t="inlineStr">
        <is>
          <t>Change Management for Supervisors</t>
        </is>
      </c>
      <c r="H133" s="237" t="inlineStr">
        <is>
          <t>USD</t>
        </is>
      </c>
      <c r="I133" s="237" t="n">
        <v>30</v>
      </c>
      <c r="J133" s="237" t="n"/>
      <c r="K133" s="237" t="n">
        <v>70256</v>
      </c>
      <c r="L133" s="237" t="n"/>
      <c r="M133" s="237" t="n"/>
      <c r="N133" s="237" t="n"/>
      <c r="O133" s="237" t="inlineStr">
        <is>
          <t>Change Management for Supervisors</t>
        </is>
      </c>
      <c r="P133" s="237" t="n"/>
      <c r="Q133" s="237" t="n"/>
      <c r="R133" s="237" t="n"/>
      <c r="S133" s="237" t="n"/>
      <c r="T133" s="237" t="n"/>
      <c r="U133" s="237" t="n"/>
      <c r="V133" s="237" t="n"/>
      <c r="W133" s="237" t="n"/>
      <c r="X133" s="237" t="n"/>
      <c r="Y133" s="237" t="n"/>
      <c r="Z133" s="240" t="n">
        <v>19708</v>
      </c>
      <c r="AA133" s="237" t="n"/>
      <c r="AB133" s="245" t="n">
        <v/>
      </c>
      <c r="AC133" s="237" t="inlineStr">
        <is>
          <t>REY MANALO</t>
        </is>
      </c>
      <c r="AD133" s="237" t="n"/>
      <c r="AE133" s="237" t="n"/>
      <c r="AF133" s="237" t="n"/>
      <c r="AG133" s="237" t="n"/>
      <c r="AH133" s="237" t="n"/>
      <c r="AI133" s="237" t="n"/>
      <c r="AJ133" s="237" t="n"/>
      <c r="AK133" s="237" t="n"/>
      <c r="AL133" s="237" t="n"/>
      <c r="AM133" s="237" t="n"/>
      <c r="AN133" s="237" t="n"/>
      <c r="AO133" s="237" t="n"/>
      <c r="AP133" s="237" t="n"/>
      <c r="AQ133" s="237" t="n"/>
      <c r="AR133" s="237" t="n"/>
      <c r="AS133" s="237" t="n"/>
      <c r="AT133" s="237" t="n"/>
      <c r="AU133" s="237" t="n"/>
      <c r="AV133" s="237" t="n"/>
      <c r="AW133" s="237" t="n"/>
      <c r="AX133" s="237" t="n"/>
      <c r="AY133" s="237" t="n"/>
      <c r="AZ133" s="237" t="n"/>
      <c r="BA133" s="237" t="n"/>
      <c r="BB133" s="237" t="n"/>
      <c r="BC133" s="237" t="n"/>
      <c r="BD133" s="237" t="n"/>
      <c r="BE133" s="237" t="n"/>
      <c r="BF133" s="237" t="n"/>
      <c r="BG133" s="237" t="n"/>
      <c r="BH133" s="237" t="n"/>
      <c r="BI133" s="237" t="n"/>
      <c r="BJ133" s="237" t="n"/>
      <c r="BK133" s="237" t="n"/>
      <c r="BL133" s="237" t="n"/>
      <c r="BM133" s="237" t="n"/>
      <c r="BN133" s="237" t="n"/>
      <c r="BO133" s="237" t="n"/>
      <c r="BP133" s="237" t="n"/>
      <c r="BQ133" s="237" t="n"/>
      <c r="BR133" s="237" t="n"/>
      <c r="BS133" s="237" t="n"/>
      <c r="BT133" s="237" t="n"/>
      <c r="BU133" s="237" t="n"/>
      <c r="BV133" s="237" t="n"/>
      <c r="BW133" s="237" t="n"/>
      <c r="BX133" s="237" t="n"/>
      <c r="BY133" s="237" t="n"/>
      <c r="BZ133" s="237" t="n"/>
      <c r="CA133" s="237" t="n"/>
      <c r="CB133" s="237" t="n"/>
      <c r="CC133" s="237" t="n"/>
      <c r="CD133" s="237" t="n"/>
      <c r="CE133" s="237" t="n"/>
      <c r="CF133" s="237" t="n"/>
      <c r="CG133" s="237" t="n"/>
      <c r="CH133" s="237" t="n"/>
      <c r="CI133" s="237" t="n"/>
    </row>
    <row r="134" ht="14" customFormat="1" customHeight="1" s="248">
      <c r="A134" s="237" t="n"/>
      <c r="B134" s="237" t="n"/>
      <c r="C134" s="237" t="n"/>
      <c r="E134" s="239" t="n"/>
      <c r="F134" s="237" t="n"/>
      <c r="G134" s="237" t="n"/>
      <c r="H134" s="237" t="n"/>
      <c r="I134" s="237" t="n"/>
      <c r="J134" s="237" t="n"/>
      <c r="K134" s="237" t="n"/>
      <c r="L134" s="237" t="n"/>
      <c r="M134" s="237" t="n"/>
      <c r="N134" s="237" t="n"/>
      <c r="O134" s="237" t="n"/>
      <c r="P134" s="237" t="n"/>
      <c r="Q134" s="237" t="n"/>
      <c r="R134" s="237" t="n"/>
      <c r="S134" s="237" t="n"/>
      <c r="T134" s="237" t="n"/>
      <c r="U134" s="237" t="n"/>
      <c r="V134" s="237" t="n"/>
      <c r="W134" s="237" t="n"/>
      <c r="X134" s="237" t="n"/>
      <c r="Y134" s="237" t="n"/>
      <c r="Z134" s="240" t="n"/>
      <c r="AA134" s="237" t="n"/>
      <c r="AB134" s="245" t="n"/>
      <c r="AC134" s="237" t="n"/>
      <c r="AD134" s="237" t="n"/>
      <c r="AE134" s="237" t="n"/>
      <c r="AF134" s="237" t="n"/>
      <c r="AG134" s="237" t="n"/>
      <c r="AH134" s="237" t="n"/>
      <c r="AI134" s="237" t="n"/>
      <c r="AJ134" s="237" t="n"/>
      <c r="AK134" s="237" t="n"/>
      <c r="AL134" s="237" t="n"/>
      <c r="AM134" s="237" t="n"/>
      <c r="AN134" s="237" t="n"/>
      <c r="AO134" s="237" t="n"/>
      <c r="AP134" s="237" t="n"/>
      <c r="AQ134" s="237" t="n"/>
      <c r="AR134" s="237" t="n"/>
      <c r="AS134" s="237" t="n"/>
      <c r="AT134" s="237" t="n"/>
      <c r="AU134" s="237" t="n"/>
      <c r="AV134" s="237" t="n"/>
      <c r="AW134" s="237" t="n"/>
      <c r="AX134" s="237" t="n"/>
      <c r="AY134" s="237" t="n"/>
      <c r="AZ134" s="237" t="n"/>
      <c r="BA134" s="237" t="n"/>
      <c r="BB134" s="237" t="n"/>
      <c r="BC134" s="237" t="n"/>
      <c r="BD134" s="237" t="n"/>
      <c r="BE134" s="237" t="n"/>
      <c r="BF134" s="237" t="n"/>
      <c r="BG134" s="237" t="n"/>
      <c r="BH134" s="237" t="n"/>
      <c r="BI134" s="237" t="n"/>
      <c r="BJ134" s="237" t="n"/>
      <c r="BK134" s="237" t="n"/>
      <c r="BL134" s="237" t="n"/>
      <c r="BM134" s="237" t="n"/>
      <c r="BN134" s="237" t="n"/>
      <c r="BO134" s="237" t="n"/>
      <c r="BP134" s="237" t="n"/>
      <c r="BQ134" s="237" t="n"/>
      <c r="BR134" s="237" t="n"/>
      <c r="BS134" s="237" t="n"/>
      <c r="BT134" s="237" t="n"/>
      <c r="BU134" s="237" t="n"/>
      <c r="BV134" s="237" t="n"/>
      <c r="BW134" s="237" t="n"/>
      <c r="BX134" s="237" t="n"/>
      <c r="BY134" s="237" t="n"/>
      <c r="BZ134" s="237" t="n"/>
      <c r="CA134" s="237" t="n"/>
      <c r="CB134" s="237" t="n"/>
      <c r="CC134" s="237" t="n"/>
      <c r="CD134" s="237" t="n"/>
      <c r="CE134" s="237" t="n"/>
      <c r="CF134" s="237" t="n"/>
      <c r="CG134" s="237" t="n"/>
      <c r="CH134" s="237" t="n"/>
      <c r="CI134" s="237" t="n"/>
    </row>
    <row r="135" ht="14" customFormat="1" customHeight="1" s="248">
      <c r="A135" s="237" t="n"/>
      <c r="B135" s="237" t="n"/>
      <c r="C135" s="237" t="n"/>
      <c r="E135" s="239" t="n"/>
      <c r="F135" s="237" t="n"/>
      <c r="G135" s="237" t="n"/>
      <c r="H135" s="237" t="n"/>
      <c r="I135" s="237" t="n"/>
      <c r="J135" s="237" t="n"/>
      <c r="K135" s="237" t="n"/>
      <c r="L135" s="237" t="n"/>
      <c r="M135" s="237" t="n"/>
      <c r="N135" s="237" t="n"/>
      <c r="O135" s="237" t="n"/>
      <c r="P135" s="237" t="n"/>
      <c r="Q135" s="237" t="n"/>
      <c r="R135" s="237" t="n"/>
      <c r="S135" s="237" t="n"/>
      <c r="T135" s="237" t="n"/>
      <c r="U135" s="237" t="n"/>
      <c r="V135" s="237" t="n"/>
      <c r="W135" s="237" t="n"/>
      <c r="X135" s="237" t="n"/>
      <c r="Y135" s="237" t="n"/>
      <c r="Z135" s="240" t="n"/>
      <c r="AA135" s="237" t="n"/>
      <c r="AB135" s="245" t="n"/>
      <c r="AC135" s="237" t="n"/>
      <c r="AD135" s="237" t="n"/>
      <c r="AE135" s="237" t="n"/>
      <c r="AF135" s="237" t="n"/>
      <c r="AG135" s="237" t="n"/>
      <c r="AH135" s="237" t="n"/>
      <c r="AI135" s="237" t="n"/>
      <c r="AJ135" s="237" t="n"/>
      <c r="AK135" s="237" t="n"/>
      <c r="AL135" s="237" t="n"/>
      <c r="AM135" s="237" t="n"/>
      <c r="AN135" s="237" t="n"/>
      <c r="AO135" s="237" t="n"/>
      <c r="AP135" s="237" t="n"/>
      <c r="AQ135" s="237" t="n"/>
      <c r="AR135" s="237" t="n"/>
      <c r="AS135" s="237" t="n"/>
      <c r="AT135" s="237" t="n"/>
      <c r="AU135" s="237" t="n"/>
      <c r="AV135" s="237" t="n"/>
      <c r="AW135" s="237" t="n"/>
      <c r="AX135" s="237" t="n"/>
      <c r="AY135" s="237" t="n"/>
      <c r="AZ135" s="237" t="n"/>
      <c r="BA135" s="237" t="n"/>
      <c r="BB135" s="237" t="n"/>
      <c r="BC135" s="237" t="n"/>
      <c r="BD135" s="237" t="n"/>
      <c r="BE135" s="237" t="n"/>
      <c r="BF135" s="237" t="n"/>
      <c r="BG135" s="237" t="n"/>
      <c r="BH135" s="237" t="n"/>
      <c r="BI135" s="237" t="n"/>
      <c r="BJ135" s="237" t="n"/>
      <c r="BK135" s="237" t="n"/>
      <c r="BL135" s="237" t="n"/>
      <c r="BM135" s="237" t="n"/>
      <c r="BN135" s="237" t="n"/>
      <c r="BO135" s="237" t="n"/>
      <c r="BP135" s="237" t="n"/>
      <c r="BQ135" s="237" t="n"/>
      <c r="BR135" s="237" t="n"/>
      <c r="BS135" s="237" t="n"/>
      <c r="BT135" s="237" t="n"/>
      <c r="BU135" s="237" t="n"/>
      <c r="BV135" s="237" t="n"/>
      <c r="BW135" s="237" t="n"/>
      <c r="BX135" s="237" t="n"/>
      <c r="BY135" s="237" t="n"/>
      <c r="BZ135" s="237" t="n"/>
      <c r="CA135" s="237" t="n"/>
      <c r="CB135" s="237" t="n"/>
      <c r="CC135" s="237" t="n"/>
      <c r="CD135" s="237" t="n"/>
      <c r="CE135" s="237" t="n"/>
      <c r="CF135" s="237" t="n"/>
      <c r="CG135" s="237" t="n"/>
      <c r="CH135" s="237" t="n"/>
      <c r="CI135" s="237" t="n"/>
    </row>
    <row r="136" ht="14" customFormat="1" customHeight="1" s="248">
      <c r="A136" s="237" t="n"/>
      <c r="B136" s="237" t="n"/>
      <c r="C136" s="237" t="n"/>
      <c r="E136" s="239" t="n"/>
      <c r="F136" s="237" t="n"/>
      <c r="G136" s="237" t="n"/>
      <c r="H136" s="237" t="n"/>
      <c r="I136" s="237" t="n"/>
      <c r="J136" s="237" t="n"/>
      <c r="K136" s="237" t="n"/>
      <c r="L136" s="237" t="n"/>
      <c r="M136" s="237" t="n"/>
      <c r="N136" s="237" t="n"/>
      <c r="O136" s="237" t="n"/>
      <c r="P136" s="237" t="n"/>
      <c r="Q136" s="237" t="n"/>
      <c r="R136" s="237" t="n"/>
      <c r="S136" s="237" t="n"/>
      <c r="T136" s="237" t="n"/>
      <c r="U136" s="237" t="n"/>
      <c r="V136" s="237" t="n"/>
      <c r="W136" s="237" t="n"/>
      <c r="X136" s="237" t="n"/>
      <c r="Y136" s="237" t="n"/>
      <c r="Z136" s="240" t="n"/>
      <c r="AA136" s="237" t="n"/>
      <c r="AB136" s="245" t="n"/>
      <c r="AC136" s="237" t="n"/>
      <c r="AD136" s="237" t="n"/>
      <c r="AE136" s="237" t="n"/>
      <c r="AF136" s="237" t="n"/>
      <c r="AG136" s="237" t="n"/>
      <c r="AH136" s="237" t="n"/>
      <c r="AI136" s="237" t="n"/>
      <c r="AJ136" s="237" t="n"/>
      <c r="AK136" s="237" t="n"/>
      <c r="AL136" s="237" t="n"/>
      <c r="AM136" s="237" t="n"/>
      <c r="AN136" s="237" t="n"/>
      <c r="AO136" s="237" t="n"/>
      <c r="AP136" s="237" t="n"/>
      <c r="AQ136" s="237" t="n"/>
      <c r="AR136" s="237" t="n"/>
      <c r="AS136" s="237" t="n"/>
      <c r="AT136" s="237" t="n"/>
      <c r="AU136" s="237" t="n"/>
      <c r="AV136" s="237" t="n"/>
      <c r="AW136" s="237" t="n"/>
      <c r="AX136" s="237" t="n"/>
      <c r="AY136" s="237" t="n"/>
      <c r="AZ136" s="237" t="n"/>
      <c r="BA136" s="237" t="n"/>
      <c r="BB136" s="237" t="n"/>
      <c r="BC136" s="237" t="n"/>
      <c r="BD136" s="237" t="n"/>
      <c r="BE136" s="237" t="n"/>
      <c r="BF136" s="237" t="n"/>
      <c r="BG136" s="237" t="n"/>
      <c r="BH136" s="237" t="n"/>
      <c r="BI136" s="237" t="n"/>
      <c r="BJ136" s="237" t="n"/>
      <c r="BK136" s="237" t="n"/>
      <c r="BL136" s="237" t="n"/>
      <c r="BM136" s="237" t="n"/>
      <c r="BN136" s="237" t="n"/>
      <c r="BO136" s="237" t="n"/>
      <c r="BP136" s="237" t="n"/>
      <c r="BQ136" s="237" t="n"/>
      <c r="BR136" s="237" t="n"/>
      <c r="BS136" s="237" t="n"/>
      <c r="BT136" s="237" t="n"/>
      <c r="BU136" s="237" t="n"/>
      <c r="BV136" s="237" t="n"/>
      <c r="BW136" s="237" t="n"/>
      <c r="BX136" s="237" t="n"/>
      <c r="BY136" s="237" t="n"/>
      <c r="BZ136" s="237" t="n"/>
      <c r="CA136" s="237" t="n"/>
      <c r="CB136" s="237" t="n"/>
      <c r="CC136" s="237" t="n"/>
      <c r="CD136" s="237" t="n"/>
      <c r="CE136" s="237" t="n"/>
      <c r="CF136" s="237" t="n"/>
      <c r="CG136" s="237" t="n"/>
      <c r="CH136" s="237" t="n"/>
      <c r="CI136" s="237" t="n"/>
    </row>
    <row r="137" ht="14" customFormat="1" customHeight="1" s="248">
      <c r="A137" s="237" t="n"/>
      <c r="B137" s="237" t="n"/>
      <c r="C137" s="237" t="n"/>
      <c r="E137" s="239" t="n"/>
      <c r="F137" s="237" t="n"/>
      <c r="G137" s="237" t="n"/>
      <c r="H137" s="237" t="n"/>
      <c r="I137" s="237" t="n"/>
      <c r="J137" s="237" t="n"/>
      <c r="K137" s="237" t="n"/>
      <c r="L137" s="237" t="n"/>
      <c r="M137" s="237" t="n"/>
      <c r="N137" s="237" t="n"/>
      <c r="O137" s="237" t="n"/>
      <c r="P137" s="237" t="n"/>
      <c r="Q137" s="237" t="n"/>
      <c r="R137" s="237" t="n"/>
      <c r="S137" s="237" t="n"/>
      <c r="T137" s="237" t="n"/>
      <c r="U137" s="237" t="n"/>
      <c r="V137" s="237" t="n"/>
      <c r="W137" s="237" t="n"/>
      <c r="X137" s="237" t="n"/>
      <c r="Y137" s="237" t="n"/>
      <c r="Z137" s="240" t="n"/>
      <c r="AA137" s="237" t="n"/>
      <c r="AB137" s="245" t="n"/>
      <c r="AC137" s="237" t="n"/>
      <c r="AD137" s="237" t="n"/>
      <c r="AE137" s="237" t="n"/>
      <c r="AF137" s="237" t="n"/>
      <c r="AG137" s="237" t="n"/>
      <c r="AH137" s="237" t="n"/>
      <c r="AI137" s="237" t="n"/>
      <c r="AJ137" s="237" t="n"/>
      <c r="AK137" s="237" t="n"/>
      <c r="AL137" s="237" t="n"/>
      <c r="AM137" s="237" t="n"/>
      <c r="AN137" s="237" t="n"/>
      <c r="AO137" s="237" t="n"/>
      <c r="AP137" s="237" t="n"/>
      <c r="AQ137" s="237" t="n"/>
      <c r="AR137" s="237" t="n"/>
      <c r="AS137" s="237" t="n"/>
      <c r="AT137" s="237" t="n"/>
      <c r="AU137" s="237" t="n"/>
      <c r="AV137" s="237" t="n"/>
      <c r="AW137" s="237" t="n"/>
      <c r="AX137" s="237" t="n"/>
      <c r="AY137" s="237" t="n"/>
      <c r="AZ137" s="237" t="n"/>
      <c r="BA137" s="237" t="n"/>
      <c r="BB137" s="237" t="n"/>
      <c r="BC137" s="237" t="n"/>
      <c r="BD137" s="237" t="n"/>
      <c r="BE137" s="237" t="n"/>
      <c r="BF137" s="237" t="n"/>
      <c r="BG137" s="237" t="n"/>
      <c r="BH137" s="237" t="n"/>
      <c r="BI137" s="237" t="n"/>
      <c r="BJ137" s="237" t="n"/>
      <c r="BK137" s="237" t="n"/>
      <c r="BL137" s="237" t="n"/>
      <c r="BM137" s="237" t="n"/>
      <c r="BN137" s="237" t="n"/>
      <c r="BO137" s="237" t="n"/>
      <c r="BP137" s="237" t="n"/>
      <c r="BQ137" s="237" t="n"/>
      <c r="BR137" s="237" t="n"/>
      <c r="BS137" s="237" t="n"/>
      <c r="BT137" s="237" t="n"/>
      <c r="BU137" s="237" t="n"/>
      <c r="BV137" s="237" t="n"/>
      <c r="BW137" s="237" t="n"/>
      <c r="BX137" s="237" t="n"/>
      <c r="BY137" s="237" t="n"/>
      <c r="BZ137" s="237" t="n"/>
      <c r="CA137" s="237" t="n"/>
      <c r="CB137" s="237" t="n"/>
      <c r="CC137" s="237" t="n"/>
      <c r="CD137" s="237" t="n"/>
      <c r="CE137" s="237" t="n"/>
      <c r="CF137" s="237" t="n"/>
      <c r="CG137" s="237" t="n"/>
      <c r="CH137" s="237" t="n"/>
      <c r="CI137" s="237" t="n"/>
    </row>
    <row r="138" ht="14" customFormat="1" customHeight="1" s="248">
      <c r="A138" s="237" t="n"/>
      <c r="B138" s="237" t="n"/>
      <c r="C138" s="237" t="n"/>
      <c r="E138" s="239" t="n"/>
      <c r="F138" s="237" t="n"/>
      <c r="G138" s="237" t="n"/>
      <c r="H138" s="237" t="n"/>
      <c r="I138" s="237" t="n"/>
      <c r="J138" s="237" t="n"/>
      <c r="K138" s="237" t="n"/>
      <c r="L138" s="237" t="n"/>
      <c r="M138" s="237" t="n"/>
      <c r="N138" s="237" t="n"/>
      <c r="O138" s="237" t="n"/>
      <c r="P138" s="237" t="n"/>
      <c r="Q138" s="237" t="n"/>
      <c r="R138" s="237" t="n"/>
      <c r="S138" s="237" t="n"/>
      <c r="T138" s="237" t="n"/>
      <c r="U138" s="237" t="n"/>
      <c r="V138" s="237" t="n"/>
      <c r="W138" s="237" t="n"/>
      <c r="X138" s="237" t="n"/>
      <c r="Y138" s="237" t="n"/>
      <c r="Z138" s="240" t="n"/>
      <c r="AA138" s="237" t="n"/>
      <c r="AB138" s="245" t="n"/>
      <c r="AC138" s="237" t="n"/>
      <c r="AD138" s="237" t="n"/>
      <c r="AE138" s="237" t="n"/>
      <c r="AF138" s="237" t="n"/>
      <c r="AG138" s="237" t="n"/>
      <c r="AH138" s="237" t="n"/>
      <c r="AI138" s="237" t="n"/>
      <c r="AJ138" s="237" t="n"/>
      <c r="AK138" s="237" t="n"/>
      <c r="AL138" s="237" t="n"/>
      <c r="AM138" s="237" t="n"/>
      <c r="AN138" s="237" t="n"/>
      <c r="AO138" s="237" t="n"/>
      <c r="AP138" s="237" t="n"/>
      <c r="AQ138" s="237" t="n"/>
      <c r="AR138" s="237" t="n"/>
      <c r="AS138" s="237" t="n"/>
      <c r="AT138" s="237" t="n"/>
      <c r="AU138" s="237" t="n"/>
      <c r="AV138" s="237" t="n"/>
      <c r="AW138" s="237" t="n"/>
      <c r="AX138" s="237" t="n"/>
      <c r="AY138" s="237" t="n"/>
      <c r="AZ138" s="237" t="n"/>
      <c r="BA138" s="237" t="n"/>
      <c r="BB138" s="237" t="n"/>
      <c r="BC138" s="237" t="n"/>
      <c r="BD138" s="237" t="n"/>
      <c r="BE138" s="237" t="n"/>
      <c r="BF138" s="237" t="n"/>
      <c r="BG138" s="237" t="n"/>
      <c r="BH138" s="237" t="n"/>
      <c r="BI138" s="237" t="n"/>
      <c r="BJ138" s="237" t="n"/>
      <c r="BK138" s="237" t="n"/>
      <c r="BL138" s="237" t="n"/>
      <c r="BM138" s="237" t="n"/>
      <c r="BN138" s="237" t="n"/>
      <c r="BO138" s="237" t="n"/>
      <c r="BP138" s="237" t="n"/>
      <c r="BQ138" s="237" t="n"/>
      <c r="BR138" s="237" t="n"/>
      <c r="BS138" s="237" t="n"/>
      <c r="BT138" s="237" t="n"/>
      <c r="BU138" s="237" t="n"/>
      <c r="BV138" s="237" t="n"/>
      <c r="BW138" s="237" t="n"/>
      <c r="BX138" s="237" t="n"/>
      <c r="BY138" s="237" t="n"/>
      <c r="BZ138" s="237" t="n"/>
      <c r="CA138" s="237" t="n"/>
      <c r="CB138" s="237" t="n"/>
      <c r="CC138" s="237" t="n"/>
      <c r="CD138" s="237" t="n"/>
      <c r="CE138" s="237" t="n"/>
      <c r="CF138" s="237" t="n"/>
      <c r="CG138" s="237" t="n"/>
      <c r="CH138" s="237" t="n"/>
      <c r="CI138" s="237" t="n"/>
    </row>
    <row r="139" ht="14" customFormat="1" customHeight="1" s="248">
      <c r="A139" s="237" t="n"/>
      <c r="B139" s="237" t="n"/>
      <c r="C139" s="237" t="n"/>
      <c r="E139" s="239" t="n"/>
      <c r="F139" s="237" t="n"/>
      <c r="G139" s="237" t="n"/>
      <c r="H139" s="237" t="n"/>
      <c r="I139" s="237" t="n"/>
      <c r="J139" s="237" t="n"/>
      <c r="K139" s="237" t="n"/>
      <c r="L139" s="237" t="n"/>
      <c r="M139" s="237" t="n"/>
      <c r="N139" s="237" t="n"/>
      <c r="O139" s="237" t="n"/>
      <c r="P139" s="237" t="n"/>
      <c r="Q139" s="237" t="n"/>
      <c r="R139" s="237" t="n"/>
      <c r="S139" s="237" t="n"/>
      <c r="T139" s="237" t="n"/>
      <c r="U139" s="237" t="n"/>
      <c r="V139" s="237" t="n"/>
      <c r="W139" s="237" t="n"/>
      <c r="X139" s="237" t="n"/>
      <c r="Y139" s="237" t="n"/>
      <c r="Z139" s="240" t="n"/>
      <c r="AA139" s="237" t="n"/>
      <c r="AB139" s="245" t="n"/>
      <c r="AC139" s="237" t="n"/>
      <c r="AD139" s="237" t="n"/>
      <c r="AE139" s="237" t="n"/>
      <c r="AF139" s="237" t="n"/>
      <c r="AG139" s="237" t="n"/>
      <c r="AH139" s="237" t="n"/>
      <c r="AI139" s="237" t="n"/>
      <c r="AJ139" s="237" t="n"/>
      <c r="AK139" s="237" t="n"/>
      <c r="AL139" s="237" t="n"/>
      <c r="AM139" s="237" t="n"/>
      <c r="AN139" s="237" t="n"/>
      <c r="AO139" s="237" t="n"/>
      <c r="AP139" s="237" t="n"/>
      <c r="AQ139" s="237" t="n"/>
      <c r="AR139" s="237" t="n"/>
      <c r="AS139" s="237" t="n"/>
      <c r="AT139" s="237" t="n"/>
      <c r="AU139" s="237" t="n"/>
      <c r="AV139" s="237" t="n"/>
      <c r="AW139" s="237" t="n"/>
      <c r="AX139" s="237" t="n"/>
      <c r="AY139" s="237" t="n"/>
      <c r="AZ139" s="237" t="n"/>
      <c r="BA139" s="237" t="n"/>
      <c r="BB139" s="237" t="n"/>
      <c r="BC139" s="237" t="n"/>
      <c r="BD139" s="237" t="n"/>
      <c r="BE139" s="237" t="n"/>
      <c r="BF139" s="237" t="n"/>
      <c r="BG139" s="237" t="n"/>
      <c r="BH139" s="237" t="n"/>
      <c r="BI139" s="237" t="n"/>
      <c r="BJ139" s="237" t="n"/>
      <c r="BK139" s="237" t="n"/>
      <c r="BL139" s="237" t="n"/>
      <c r="BM139" s="237" t="n"/>
      <c r="BN139" s="237" t="n"/>
      <c r="BO139" s="237" t="n"/>
      <c r="BP139" s="237" t="n"/>
      <c r="BQ139" s="237" t="n"/>
      <c r="BR139" s="237" t="n"/>
      <c r="BS139" s="237" t="n"/>
      <c r="BT139" s="237" t="n"/>
      <c r="BU139" s="237" t="n"/>
      <c r="BV139" s="237" t="n"/>
      <c r="BW139" s="237" t="n"/>
      <c r="BX139" s="237" t="n"/>
      <c r="BY139" s="237" t="n"/>
      <c r="BZ139" s="237" t="n"/>
      <c r="CA139" s="237" t="n"/>
      <c r="CB139" s="237" t="n"/>
      <c r="CC139" s="237" t="n"/>
      <c r="CD139" s="237" t="n"/>
      <c r="CE139" s="237" t="n"/>
      <c r="CF139" s="237" t="n"/>
      <c r="CG139" s="237" t="n"/>
      <c r="CH139" s="237" t="n"/>
      <c r="CI139" s="237" t="n"/>
    </row>
    <row r="140" ht="14" customFormat="1" customHeight="1" s="248">
      <c r="A140" s="237" t="n"/>
      <c r="B140" s="237" t="n"/>
      <c r="C140" s="237" t="n"/>
      <c r="E140" s="239" t="n"/>
      <c r="F140" s="237" t="n"/>
      <c r="G140" s="237" t="n"/>
      <c r="H140" s="237" t="n"/>
      <c r="I140" s="237" t="n"/>
      <c r="J140" s="237" t="n"/>
      <c r="K140" s="237" t="n"/>
      <c r="L140" s="237" t="n"/>
      <c r="M140" s="237" t="n"/>
      <c r="N140" s="237" t="n"/>
      <c r="O140" s="237" t="n"/>
      <c r="P140" s="237" t="n"/>
      <c r="Q140" s="237" t="n"/>
      <c r="R140" s="237" t="n"/>
      <c r="S140" s="237" t="n"/>
      <c r="T140" s="237" t="n"/>
      <c r="U140" s="237" t="n"/>
      <c r="V140" s="237" t="n"/>
      <c r="W140" s="237" t="n"/>
      <c r="X140" s="237" t="n"/>
      <c r="Y140" s="237" t="n"/>
      <c r="Z140" s="240" t="n"/>
      <c r="AA140" s="237" t="n"/>
      <c r="AB140" s="245" t="n"/>
      <c r="AC140" s="237" t="n"/>
      <c r="AD140" s="237" t="n"/>
      <c r="AE140" s="237" t="n"/>
      <c r="AF140" s="237" t="n"/>
      <c r="AG140" s="237" t="n"/>
      <c r="AH140" s="237" t="n"/>
      <c r="AI140" s="237" t="n"/>
      <c r="AJ140" s="237" t="n"/>
      <c r="AK140" s="237" t="n"/>
      <c r="AL140" s="237" t="n"/>
      <c r="AM140" s="237" t="n"/>
      <c r="AN140" s="237" t="n"/>
      <c r="AO140" s="237" t="n"/>
      <c r="AP140" s="237" t="n"/>
      <c r="AQ140" s="237" t="n"/>
      <c r="AR140" s="237" t="n"/>
      <c r="AS140" s="237" t="n"/>
      <c r="AT140" s="237" t="n"/>
      <c r="AU140" s="237" t="n"/>
      <c r="AV140" s="237" t="n"/>
      <c r="AW140" s="237" t="n"/>
      <c r="AX140" s="237" t="n"/>
      <c r="AY140" s="237" t="n"/>
      <c r="AZ140" s="237" t="n"/>
      <c r="BA140" s="237" t="n"/>
      <c r="BB140" s="237" t="n"/>
      <c r="BC140" s="237" t="n"/>
      <c r="BD140" s="237" t="n"/>
      <c r="BE140" s="237" t="n"/>
      <c r="BF140" s="237" t="n"/>
      <c r="BG140" s="237" t="n"/>
      <c r="BH140" s="237" t="n"/>
      <c r="BI140" s="237" t="n"/>
      <c r="BJ140" s="237" t="n"/>
      <c r="BK140" s="237" t="n"/>
      <c r="BL140" s="237" t="n"/>
      <c r="BM140" s="237" t="n"/>
      <c r="BN140" s="237" t="n"/>
      <c r="BO140" s="237" t="n"/>
      <c r="BP140" s="237" t="n"/>
      <c r="BQ140" s="237" t="n"/>
      <c r="BR140" s="237" t="n"/>
      <c r="BS140" s="237" t="n"/>
      <c r="BT140" s="237" t="n"/>
      <c r="BU140" s="237" t="n"/>
      <c r="BV140" s="237" t="n"/>
      <c r="BW140" s="237" t="n"/>
      <c r="BX140" s="237" t="n"/>
      <c r="BY140" s="237" t="n"/>
      <c r="BZ140" s="237" t="n"/>
      <c r="CA140" s="237" t="n"/>
      <c r="CB140" s="237" t="n"/>
      <c r="CC140" s="237" t="n"/>
      <c r="CD140" s="237" t="n"/>
      <c r="CE140" s="237" t="n"/>
      <c r="CF140" s="237" t="n"/>
      <c r="CG140" s="237" t="n"/>
      <c r="CH140" s="237" t="n"/>
      <c r="CI140" s="237" t="n"/>
    </row>
    <row r="141" ht="14" customFormat="1" customHeight="1" s="248">
      <c r="A141" s="237" t="n"/>
      <c r="B141" s="237" t="n"/>
      <c r="C141" s="237" t="n"/>
      <c r="E141" s="239" t="n"/>
      <c r="F141" s="237" t="n"/>
      <c r="G141" s="237" t="n"/>
      <c r="H141" s="237" t="n"/>
      <c r="I141" s="237" t="n"/>
      <c r="J141" s="237" t="n"/>
      <c r="K141" s="237" t="n"/>
      <c r="L141" s="237" t="n"/>
      <c r="M141" s="237" t="n"/>
      <c r="N141" s="237" t="n"/>
      <c r="O141" s="237" t="n"/>
      <c r="P141" s="237" t="n"/>
      <c r="Q141" s="237" t="n"/>
      <c r="R141" s="237" t="n"/>
      <c r="S141" s="237" t="n"/>
      <c r="T141" s="237" t="n"/>
      <c r="U141" s="237" t="n"/>
      <c r="V141" s="237" t="n"/>
      <c r="W141" s="237" t="n"/>
      <c r="X141" s="237" t="n"/>
      <c r="Y141" s="237" t="n"/>
      <c r="Z141" s="240" t="n"/>
      <c r="AA141" s="237" t="n"/>
      <c r="AB141" s="245" t="n"/>
      <c r="AC141" s="237" t="n"/>
      <c r="AD141" s="237" t="n"/>
      <c r="AE141" s="237" t="n"/>
      <c r="AF141" s="237" t="n"/>
      <c r="AG141" s="237" t="n"/>
      <c r="AH141" s="237" t="n"/>
      <c r="AI141" s="237" t="n"/>
      <c r="AJ141" s="237" t="n"/>
      <c r="AK141" s="237" t="n"/>
      <c r="AL141" s="237" t="n"/>
      <c r="AM141" s="237" t="n"/>
      <c r="AN141" s="237" t="n"/>
      <c r="AO141" s="237" t="n"/>
      <c r="AP141" s="237" t="n"/>
      <c r="AQ141" s="237" t="n"/>
      <c r="AR141" s="237" t="n"/>
      <c r="AS141" s="237" t="n"/>
      <c r="AT141" s="237" t="n"/>
      <c r="AU141" s="237" t="n"/>
      <c r="AV141" s="237" t="n"/>
      <c r="AW141" s="237" t="n"/>
      <c r="AX141" s="237" t="n"/>
      <c r="AY141" s="237" t="n"/>
      <c r="AZ141" s="237" t="n"/>
      <c r="BA141" s="237" t="n"/>
      <c r="BB141" s="237" t="n"/>
      <c r="BC141" s="237" t="n"/>
      <c r="BD141" s="237" t="n"/>
      <c r="BE141" s="237" t="n"/>
      <c r="BF141" s="237" t="n"/>
      <c r="BG141" s="237" t="n"/>
      <c r="BH141" s="237" t="n"/>
      <c r="BI141" s="237" t="n"/>
      <c r="BJ141" s="237" t="n"/>
      <c r="BK141" s="237" t="n"/>
      <c r="BL141" s="237" t="n"/>
      <c r="BM141" s="237" t="n"/>
      <c r="BN141" s="237" t="n"/>
      <c r="BO141" s="237" t="n"/>
      <c r="BP141" s="237" t="n"/>
      <c r="BQ141" s="237" t="n"/>
      <c r="BR141" s="237" t="n"/>
      <c r="BS141" s="237" t="n"/>
      <c r="BT141" s="237" t="n"/>
      <c r="BU141" s="237" t="n"/>
      <c r="BV141" s="237" t="n"/>
      <c r="BW141" s="237" t="n"/>
      <c r="BX141" s="237" t="n"/>
      <c r="BY141" s="237" t="n"/>
      <c r="BZ141" s="237" t="n"/>
      <c r="CA141" s="237" t="n"/>
      <c r="CB141" s="237" t="n"/>
      <c r="CC141" s="237" t="n"/>
      <c r="CD141" s="237" t="n"/>
      <c r="CE141" s="237" t="n"/>
      <c r="CF141" s="237" t="n"/>
      <c r="CG141" s="237" t="n"/>
      <c r="CH141" s="237" t="n"/>
      <c r="CI141" s="237" t="n"/>
    </row>
    <row r="142" ht="14" customFormat="1" customHeight="1" s="248">
      <c r="A142" s="237" t="n"/>
      <c r="B142" s="237" t="n"/>
      <c r="C142" s="237" t="n"/>
      <c r="E142" s="239" t="n"/>
      <c r="F142" s="237" t="n"/>
      <c r="G142" s="237" t="n"/>
      <c r="H142" s="237" t="n"/>
      <c r="I142" s="237" t="n"/>
      <c r="J142" s="237" t="n"/>
      <c r="K142" s="237" t="n"/>
      <c r="L142" s="237" t="n"/>
      <c r="M142" s="237" t="n"/>
      <c r="N142" s="237" t="n"/>
      <c r="O142" s="237" t="n"/>
      <c r="P142" s="237" t="n"/>
      <c r="Q142" s="237" t="n"/>
      <c r="R142" s="237" t="n"/>
      <c r="S142" s="237" t="n"/>
      <c r="T142" s="237" t="n"/>
      <c r="U142" s="237" t="n"/>
      <c r="V142" s="237" t="n"/>
      <c r="W142" s="237" t="n"/>
      <c r="X142" s="237" t="n"/>
      <c r="Y142" s="237" t="n"/>
      <c r="Z142" s="240" t="n"/>
      <c r="AA142" s="237" t="n"/>
      <c r="AB142" s="245" t="n"/>
      <c r="AC142" s="237" t="n"/>
      <c r="AD142" s="237" t="n"/>
      <c r="AE142" s="237" t="n"/>
      <c r="AF142" s="237" t="n"/>
      <c r="AG142" s="237" t="n"/>
      <c r="AH142" s="237" t="n"/>
      <c r="AI142" s="237" t="n"/>
      <c r="AJ142" s="237" t="n"/>
      <c r="AK142" s="237" t="n"/>
      <c r="AL142" s="237" t="n"/>
      <c r="AM142" s="237" t="n"/>
      <c r="AN142" s="237" t="n"/>
      <c r="AO142" s="237" t="n"/>
      <c r="AP142" s="237" t="n"/>
      <c r="AQ142" s="237" t="n"/>
      <c r="AR142" s="237" t="n"/>
      <c r="AS142" s="237" t="n"/>
      <c r="AT142" s="237" t="n"/>
      <c r="AU142" s="237" t="n"/>
      <c r="AV142" s="237" t="n"/>
      <c r="AW142" s="237" t="n"/>
      <c r="AX142" s="237" t="n"/>
      <c r="AY142" s="237" t="n"/>
      <c r="AZ142" s="237" t="n"/>
      <c r="BA142" s="237" t="n"/>
      <c r="BB142" s="237" t="n"/>
      <c r="BC142" s="237" t="n"/>
      <c r="BD142" s="237" t="n"/>
      <c r="BE142" s="237" t="n"/>
      <c r="BF142" s="237" t="n"/>
      <c r="BG142" s="237" t="n"/>
      <c r="BH142" s="237" t="n"/>
      <c r="BI142" s="237" t="n"/>
      <c r="BJ142" s="237" t="n"/>
      <c r="BK142" s="237" t="n"/>
      <c r="BL142" s="237" t="n"/>
      <c r="BM142" s="237" t="n"/>
      <c r="BN142" s="237" t="n"/>
      <c r="BO142" s="237" t="n"/>
      <c r="BP142" s="237" t="n"/>
      <c r="BQ142" s="237" t="n"/>
      <c r="BR142" s="237" t="n"/>
      <c r="BS142" s="237" t="n"/>
      <c r="BT142" s="237" t="n"/>
      <c r="BU142" s="237" t="n"/>
      <c r="BV142" s="237" t="n"/>
      <c r="BW142" s="237" t="n"/>
      <c r="BX142" s="237" t="n"/>
      <c r="BY142" s="237" t="n"/>
      <c r="BZ142" s="237" t="n"/>
      <c r="CA142" s="237" t="n"/>
      <c r="CB142" s="237" t="n"/>
      <c r="CC142" s="237" t="n"/>
      <c r="CD142" s="237" t="n"/>
      <c r="CE142" s="237" t="n"/>
      <c r="CF142" s="237" t="n"/>
      <c r="CG142" s="237" t="n"/>
      <c r="CH142" s="237" t="n"/>
      <c r="CI142" s="237" t="n"/>
    </row>
    <row r="143" ht="14" customFormat="1" customHeight="1" s="248">
      <c r="A143" s="237" t="n"/>
      <c r="B143" s="237" t="n"/>
      <c r="C143" s="237" t="n"/>
      <c r="E143" s="239" t="n"/>
      <c r="F143" s="237" t="n"/>
      <c r="G143" s="237" t="n"/>
      <c r="H143" s="237" t="n"/>
      <c r="I143" s="237" t="n"/>
      <c r="J143" s="237" t="n"/>
      <c r="K143" s="237" t="n"/>
      <c r="L143" s="237" t="n"/>
      <c r="M143" s="237" t="n"/>
      <c r="N143" s="237" t="n"/>
      <c r="O143" s="237" t="n"/>
      <c r="P143" s="237" t="n"/>
      <c r="Q143" s="237" t="n"/>
      <c r="R143" s="237" t="n"/>
      <c r="S143" s="237" t="n"/>
      <c r="T143" s="237" t="n"/>
      <c r="U143" s="237" t="n"/>
      <c r="V143" s="237" t="n"/>
      <c r="W143" s="237" t="n"/>
      <c r="X143" s="237" t="n"/>
      <c r="Y143" s="237" t="n"/>
      <c r="Z143" s="240" t="n"/>
      <c r="AA143" s="237" t="n"/>
      <c r="AB143" s="245" t="n"/>
      <c r="AC143" s="237" t="n"/>
      <c r="AD143" s="237" t="n"/>
      <c r="AE143" s="237" t="n"/>
      <c r="AF143" s="237" t="n"/>
      <c r="AG143" s="237" t="n"/>
      <c r="AH143" s="237" t="n"/>
      <c r="AI143" s="237" t="n"/>
      <c r="AJ143" s="237" t="n"/>
      <c r="AK143" s="237" t="n"/>
      <c r="AL143" s="237" t="n"/>
      <c r="AM143" s="237" t="n"/>
      <c r="AN143" s="237" t="n"/>
      <c r="AO143" s="237" t="n"/>
      <c r="AP143" s="237" t="n"/>
      <c r="AQ143" s="237" t="n"/>
      <c r="AR143" s="237" t="n"/>
      <c r="AS143" s="237" t="n"/>
      <c r="AT143" s="237" t="n"/>
      <c r="AU143" s="237" t="n"/>
      <c r="AV143" s="237" t="n"/>
      <c r="AW143" s="237" t="n"/>
      <c r="AX143" s="237" t="n"/>
      <c r="AY143" s="237" t="n"/>
      <c r="AZ143" s="237" t="n"/>
      <c r="BA143" s="237" t="n"/>
      <c r="BB143" s="237" t="n"/>
      <c r="BC143" s="237" t="n"/>
      <c r="BD143" s="237" t="n"/>
      <c r="BE143" s="237" t="n"/>
      <c r="BF143" s="237" t="n"/>
      <c r="BG143" s="237" t="n"/>
      <c r="BH143" s="237" t="n"/>
      <c r="BI143" s="237" t="n"/>
      <c r="BJ143" s="237" t="n"/>
      <c r="BK143" s="237" t="n"/>
      <c r="BL143" s="237" t="n"/>
      <c r="BM143" s="237" t="n"/>
      <c r="BN143" s="237" t="n"/>
      <c r="BO143" s="237" t="n"/>
      <c r="BP143" s="237" t="n"/>
      <c r="BQ143" s="237" t="n"/>
      <c r="BR143" s="237" t="n"/>
      <c r="BS143" s="237" t="n"/>
      <c r="BT143" s="237" t="n"/>
      <c r="BU143" s="237" t="n"/>
      <c r="BV143" s="237" t="n"/>
      <c r="BW143" s="237" t="n"/>
      <c r="BX143" s="237" t="n"/>
      <c r="BY143" s="237" t="n"/>
      <c r="BZ143" s="237" t="n"/>
      <c r="CA143" s="237" t="n"/>
      <c r="CB143" s="237" t="n"/>
      <c r="CC143" s="237" t="n"/>
      <c r="CD143" s="237" t="n"/>
      <c r="CE143" s="237" t="n"/>
      <c r="CF143" s="237" t="n"/>
      <c r="CG143" s="237" t="n"/>
      <c r="CH143" s="237" t="n"/>
      <c r="CI143" s="237" t="n"/>
    </row>
    <row r="144" ht="14" customFormat="1" customHeight="1" s="248">
      <c r="A144" s="237" t="n"/>
      <c r="B144" s="237" t="n"/>
      <c r="C144" s="237" t="n"/>
      <c r="E144" s="239" t="n"/>
      <c r="F144" s="237" t="n"/>
      <c r="G144" s="237" t="n"/>
      <c r="H144" s="237" t="n"/>
      <c r="I144" s="237" t="n"/>
      <c r="J144" s="237" t="n"/>
      <c r="K144" s="237" t="n"/>
      <c r="L144" s="237" t="n"/>
      <c r="M144" s="237" t="n"/>
      <c r="N144" s="237" t="n"/>
      <c r="O144" s="237" t="n"/>
      <c r="P144" s="237" t="n"/>
      <c r="Q144" s="237" t="n"/>
      <c r="R144" s="237" t="n"/>
      <c r="S144" s="237" t="n"/>
      <c r="T144" s="237" t="n"/>
      <c r="U144" s="237" t="n"/>
      <c r="V144" s="237" t="n"/>
      <c r="W144" s="237" t="n"/>
      <c r="X144" s="237" t="n"/>
      <c r="Y144" s="237" t="n"/>
      <c r="Z144" s="240" t="n"/>
      <c r="AA144" s="237" t="n"/>
      <c r="AB144" s="245" t="n"/>
      <c r="AC144" s="237" t="n"/>
      <c r="AD144" s="237" t="n"/>
      <c r="AE144" s="237" t="n"/>
      <c r="AF144" s="237" t="n"/>
      <c r="AG144" s="237" t="n"/>
      <c r="AH144" s="237" t="n"/>
      <c r="AI144" s="237" t="n"/>
      <c r="AJ144" s="237" t="n"/>
      <c r="AK144" s="237" t="n"/>
      <c r="AL144" s="237" t="n"/>
      <c r="AM144" s="237" t="n"/>
      <c r="AN144" s="237" t="n"/>
      <c r="AO144" s="237" t="n"/>
      <c r="AP144" s="237" t="n"/>
      <c r="AQ144" s="237" t="n"/>
      <c r="AR144" s="237" t="n"/>
      <c r="AS144" s="237" t="n"/>
      <c r="AT144" s="237" t="n"/>
      <c r="AU144" s="237" t="n"/>
      <c r="AV144" s="237" t="n"/>
      <c r="AW144" s="237" t="n"/>
      <c r="AX144" s="237" t="n"/>
      <c r="AY144" s="237" t="n"/>
      <c r="AZ144" s="237" t="n"/>
      <c r="BA144" s="237" t="n"/>
      <c r="BB144" s="237" t="n"/>
      <c r="BC144" s="237" t="n"/>
      <c r="BD144" s="237" t="n"/>
      <c r="BE144" s="237" t="n"/>
      <c r="BF144" s="237" t="n"/>
      <c r="BG144" s="237" t="n"/>
      <c r="BH144" s="237" t="n"/>
      <c r="BI144" s="237" t="n"/>
      <c r="BJ144" s="237" t="n"/>
      <c r="BK144" s="237" t="n"/>
      <c r="BL144" s="237" t="n"/>
      <c r="BM144" s="237" t="n"/>
      <c r="BN144" s="237" t="n"/>
      <c r="BO144" s="237" t="n"/>
      <c r="BP144" s="237" t="n"/>
      <c r="BQ144" s="237" t="n"/>
      <c r="BR144" s="237" t="n"/>
      <c r="BS144" s="237" t="n"/>
      <c r="BT144" s="237" t="n"/>
      <c r="BU144" s="237" t="n"/>
      <c r="BV144" s="237" t="n"/>
      <c r="BW144" s="237" t="n"/>
      <c r="BX144" s="237" t="n"/>
      <c r="BY144" s="237" t="n"/>
      <c r="BZ144" s="237" t="n"/>
      <c r="CA144" s="237" t="n"/>
      <c r="CB144" s="237" t="n"/>
      <c r="CC144" s="237" t="n"/>
      <c r="CD144" s="237" t="n"/>
      <c r="CE144" s="237" t="n"/>
      <c r="CF144" s="237" t="n"/>
      <c r="CG144" s="237" t="n"/>
      <c r="CH144" s="237" t="n"/>
      <c r="CI144" s="237" t="n"/>
    </row>
    <row r="145" ht="14" customFormat="1" customHeight="1" s="248">
      <c r="A145" s="237" t="n"/>
      <c r="B145" s="237" t="n"/>
      <c r="C145" s="237" t="n"/>
      <c r="E145" s="239" t="n"/>
      <c r="F145" s="237" t="n"/>
      <c r="G145" s="237" t="n"/>
      <c r="H145" s="237" t="n"/>
      <c r="I145" s="237" t="n"/>
      <c r="J145" s="237" t="n"/>
      <c r="K145" s="237" t="n"/>
      <c r="L145" s="237" t="n"/>
      <c r="M145" s="237" t="n"/>
      <c r="N145" s="237" t="n"/>
      <c r="O145" s="237" t="n"/>
      <c r="P145" s="237" t="n"/>
      <c r="Q145" s="237" t="n"/>
      <c r="R145" s="237" t="n"/>
      <c r="S145" s="237" t="n"/>
      <c r="T145" s="237" t="n"/>
      <c r="U145" s="237" t="n"/>
      <c r="V145" s="237" t="n"/>
      <c r="W145" s="237" t="n"/>
      <c r="X145" s="237" t="n"/>
      <c r="Y145" s="237" t="n"/>
      <c r="Z145" s="240" t="n"/>
      <c r="AA145" s="237" t="n"/>
      <c r="AB145" s="245" t="n"/>
      <c r="AC145" s="237" t="n"/>
      <c r="AD145" s="237" t="n"/>
      <c r="AE145" s="237" t="n"/>
      <c r="AF145" s="237" t="n"/>
      <c r="AG145" s="237" t="n"/>
      <c r="AH145" s="237" t="n"/>
      <c r="AI145" s="237" t="n"/>
      <c r="AJ145" s="237" t="n"/>
      <c r="AK145" s="237" t="n"/>
      <c r="AL145" s="237" t="n"/>
      <c r="AM145" s="237" t="n"/>
      <c r="AN145" s="237" t="n"/>
      <c r="AO145" s="237" t="n"/>
      <c r="AP145" s="237" t="n"/>
      <c r="AQ145" s="237" t="n"/>
      <c r="AR145" s="237" t="n"/>
      <c r="AS145" s="237" t="n"/>
      <c r="AT145" s="237" t="n"/>
      <c r="AU145" s="237" t="n"/>
      <c r="AV145" s="237" t="n"/>
      <c r="AW145" s="237" t="n"/>
      <c r="AX145" s="237" t="n"/>
      <c r="AY145" s="237" t="n"/>
      <c r="AZ145" s="237" t="n"/>
      <c r="BA145" s="237" t="n"/>
      <c r="BB145" s="237" t="n"/>
      <c r="BC145" s="237" t="n"/>
      <c r="BD145" s="237" t="n"/>
      <c r="BE145" s="237" t="n"/>
      <c r="BF145" s="237" t="n"/>
      <c r="BG145" s="237" t="n"/>
      <c r="BH145" s="237" t="n"/>
      <c r="BI145" s="237" t="n"/>
      <c r="BJ145" s="237" t="n"/>
      <c r="BK145" s="237" t="n"/>
      <c r="BL145" s="237" t="n"/>
      <c r="BM145" s="237" t="n"/>
      <c r="BN145" s="237" t="n"/>
      <c r="BO145" s="237" t="n"/>
      <c r="BP145" s="237" t="n"/>
      <c r="BQ145" s="237" t="n"/>
      <c r="BR145" s="237" t="n"/>
      <c r="BS145" s="237" t="n"/>
      <c r="BT145" s="237" t="n"/>
      <c r="BU145" s="237" t="n"/>
      <c r="BV145" s="237" t="n"/>
      <c r="BW145" s="237" t="n"/>
      <c r="BX145" s="237" t="n"/>
      <c r="BY145" s="237" t="n"/>
      <c r="BZ145" s="237" t="n"/>
      <c r="CA145" s="237" t="n"/>
      <c r="CB145" s="237" t="n"/>
      <c r="CC145" s="237" t="n"/>
      <c r="CD145" s="237" t="n"/>
      <c r="CE145" s="237" t="n"/>
      <c r="CF145" s="237" t="n"/>
      <c r="CG145" s="237" t="n"/>
      <c r="CH145" s="237" t="n"/>
      <c r="CI145" s="237" t="n"/>
    </row>
    <row r="146" ht="14" customHeight="1">
      <c r="A146" s="237" t="n"/>
      <c r="B146" s="249" t="n"/>
      <c r="C146" s="249" t="n"/>
      <c r="E146" s="239" t="n"/>
      <c r="F146" s="237" t="n"/>
      <c r="G146" s="249" t="n"/>
      <c r="H146" s="249" t="n"/>
      <c r="I146" s="249" t="n"/>
      <c r="J146" s="249" t="n"/>
      <c r="K146" s="249" t="n"/>
      <c r="L146" s="249" t="n"/>
      <c r="M146" s="249" t="n"/>
      <c r="N146" s="249" t="n"/>
      <c r="O146" s="249" t="n"/>
      <c r="P146" s="249" t="n"/>
      <c r="Q146" s="249" t="n"/>
      <c r="R146" s="249" t="n"/>
      <c r="S146" s="249" t="n"/>
      <c r="T146" s="249" t="n"/>
      <c r="U146" s="249" t="n"/>
      <c r="V146" s="249" t="n"/>
      <c r="W146" s="249" t="n"/>
      <c r="X146" s="249" t="n"/>
      <c r="Y146" s="249" t="n"/>
      <c r="Z146" s="250" t="n"/>
      <c r="AA146" s="249" t="n"/>
      <c r="AB146" s="251" t="n"/>
      <c r="AC146" s="249" t="n"/>
      <c r="AD146" s="249" t="n"/>
      <c r="AE146" s="249" t="n"/>
      <c r="AF146" s="249" t="n"/>
      <c r="AG146" s="249" t="n"/>
      <c r="AH146" s="249" t="n"/>
      <c r="AI146" s="249" t="n"/>
      <c r="AJ146" s="249" t="n"/>
      <c r="AK146" s="249" t="n"/>
      <c r="AL146" s="249" t="n"/>
      <c r="AM146" s="249" t="n"/>
      <c r="AN146" s="249" t="n"/>
      <c r="AO146" s="249" t="n"/>
      <c r="AP146" s="249" t="n"/>
      <c r="AQ146" s="249" t="n"/>
      <c r="AR146" s="249" t="n"/>
      <c r="AS146" s="249" t="n"/>
      <c r="AT146" s="249" t="n"/>
      <c r="AU146" s="249" t="n"/>
      <c r="AV146" s="249" t="n"/>
      <c r="AW146" s="249" t="n"/>
      <c r="AX146" s="249" t="n"/>
      <c r="AY146" s="249" t="n"/>
      <c r="AZ146" s="249" t="n"/>
      <c r="BA146" s="249" t="n"/>
      <c r="BB146" s="249" t="n"/>
      <c r="BC146" s="249" t="n"/>
      <c r="BD146" s="249" t="n"/>
      <c r="BE146" s="249" t="n"/>
      <c r="BF146" s="249" t="n"/>
      <c r="BG146" s="249" t="n"/>
      <c r="BH146" s="249" t="n"/>
      <c r="BI146" s="249" t="n"/>
      <c r="BJ146" s="249" t="n"/>
      <c r="BK146" s="249" t="n"/>
      <c r="BL146" s="249" t="n"/>
      <c r="BM146" s="249" t="n"/>
      <c r="BN146" s="249" t="n"/>
      <c r="BO146" s="249" t="n"/>
      <c r="BP146" s="249" t="n"/>
      <c r="BQ146" s="249" t="n"/>
      <c r="BR146" s="249" t="n"/>
      <c r="BS146" s="249" t="n"/>
      <c r="BT146" s="249" t="n"/>
      <c r="BU146" s="249" t="n"/>
      <c r="BV146" s="249" t="n"/>
      <c r="BW146" s="249" t="n"/>
      <c r="BX146" s="249" t="n"/>
      <c r="BY146" s="249" t="n"/>
      <c r="BZ146" s="249" t="n"/>
      <c r="CA146" s="249" t="n"/>
      <c r="CB146" s="249" t="n"/>
      <c r="CC146" s="249" t="n"/>
      <c r="CD146" s="249" t="n"/>
      <c r="CE146" s="249" t="n"/>
      <c r="CF146" s="249" t="n"/>
      <c r="CG146" s="249" t="n"/>
      <c r="CH146" s="249" t="n"/>
      <c r="CI146" s="249" t="n"/>
    </row>
    <row r="147" ht="14" customHeight="1">
      <c r="A147" s="237" t="n"/>
      <c r="B147" s="237" t="n"/>
      <c r="C147" s="237" t="n"/>
      <c r="E147" s="239" t="n"/>
      <c r="F147" s="237" t="n"/>
      <c r="G147" s="237" t="n"/>
      <c r="H147" s="237" t="n"/>
      <c r="I147" s="237" t="n"/>
      <c r="J147" s="237" t="n"/>
      <c r="K147" s="237" t="n"/>
      <c r="L147" s="237" t="n"/>
      <c r="M147" s="237" t="n"/>
      <c r="N147" s="237" t="n"/>
      <c r="O147" s="237" t="n"/>
      <c r="P147" s="237" t="n"/>
      <c r="Q147" s="237" t="n"/>
      <c r="R147" s="237" t="n"/>
      <c r="S147" s="237" t="n"/>
      <c r="T147" s="237" t="n"/>
      <c r="U147" s="237" t="n"/>
      <c r="V147" s="237" t="n"/>
      <c r="W147" s="237" t="n"/>
      <c r="X147" s="237" t="n"/>
      <c r="Y147" s="237" t="n"/>
      <c r="Z147" s="240" t="n"/>
      <c r="AA147" s="237" t="n"/>
      <c r="AB147" s="245" t="n"/>
      <c r="AC147" s="237" t="n"/>
      <c r="AD147" s="237" t="n"/>
      <c r="AE147" s="237" t="n"/>
      <c r="AF147" s="237" t="n"/>
      <c r="AG147" s="237" t="n"/>
      <c r="AH147" s="237" t="n"/>
      <c r="AI147" s="237" t="n"/>
      <c r="AJ147" s="237" t="n"/>
      <c r="AK147" s="237" t="n"/>
      <c r="AL147" s="237" t="n"/>
      <c r="AM147" s="237" t="n"/>
      <c r="AN147" s="237" t="n"/>
      <c r="AO147" s="237" t="n"/>
      <c r="AP147" s="237" t="n"/>
      <c r="AQ147" s="237" t="n"/>
      <c r="AR147" s="237" t="n"/>
      <c r="AS147" s="237" t="n"/>
      <c r="AT147" s="237" t="n"/>
      <c r="AU147" s="237" t="n"/>
      <c r="AV147" s="237" t="n"/>
      <c r="AW147" s="237" t="n"/>
      <c r="AX147" s="237" t="n"/>
      <c r="AY147" s="237" t="n"/>
      <c r="AZ147" s="237" t="n"/>
      <c r="BA147" s="237" t="n"/>
      <c r="BB147" s="237" t="n"/>
      <c r="BC147" s="237" t="n"/>
      <c r="BD147" s="237" t="n"/>
      <c r="BE147" s="237" t="n"/>
      <c r="BF147" s="237" t="n"/>
      <c r="BG147" s="237" t="n"/>
      <c r="BH147" s="237" t="n"/>
      <c r="BI147" s="237" t="n"/>
      <c r="BJ147" s="237" t="n"/>
      <c r="BK147" s="237" t="n"/>
      <c r="BL147" s="237" t="n"/>
      <c r="BM147" s="237" t="n"/>
      <c r="BN147" s="237" t="n"/>
      <c r="BO147" s="237" t="n"/>
      <c r="BP147" s="237" t="n"/>
      <c r="BQ147" s="237" t="n"/>
      <c r="BR147" s="237" t="n"/>
      <c r="BS147" s="237" t="n"/>
      <c r="BT147" s="237" t="n"/>
      <c r="BU147" s="237" t="n"/>
      <c r="BV147" s="237" t="n"/>
      <c r="BW147" s="237" t="n"/>
      <c r="BX147" s="237" t="n"/>
      <c r="BY147" s="237" t="n"/>
      <c r="BZ147" s="237" t="n"/>
      <c r="CA147" s="237" t="n"/>
      <c r="CB147" s="237" t="n"/>
      <c r="CC147" s="237" t="n"/>
      <c r="CD147" s="237" t="n"/>
      <c r="CE147" s="237" t="n"/>
      <c r="CF147" s="237" t="n"/>
      <c r="CG147" s="237" t="n"/>
      <c r="CH147" s="237" t="n"/>
      <c r="CI147" s="237" t="n"/>
    </row>
    <row r="148" ht="14" customHeight="1">
      <c r="A148" s="237" t="n"/>
      <c r="B148" s="237" t="n"/>
      <c r="C148" s="237" t="n"/>
      <c r="E148" s="239" t="n"/>
      <c r="F148" s="237" t="n"/>
      <c r="G148" s="237" t="n"/>
      <c r="H148" s="237" t="n"/>
      <c r="I148" s="237" t="n"/>
      <c r="J148" s="237" t="n"/>
      <c r="K148" s="237" t="n"/>
      <c r="L148" s="237" t="n"/>
      <c r="M148" s="237" t="n"/>
      <c r="N148" s="237" t="n"/>
      <c r="O148" s="237" t="n"/>
      <c r="P148" s="237" t="n"/>
      <c r="Q148" s="237" t="n"/>
      <c r="R148" s="237" t="n"/>
      <c r="S148" s="237" t="n"/>
      <c r="T148" s="237" t="n"/>
      <c r="U148" s="237" t="n"/>
      <c r="V148" s="237" t="n"/>
      <c r="W148" s="237" t="n"/>
      <c r="X148" s="237" t="n"/>
      <c r="Y148" s="237" t="n"/>
      <c r="Z148" s="240" t="n"/>
      <c r="AA148" s="237" t="n"/>
      <c r="AB148" s="245" t="n"/>
      <c r="AC148" s="237" t="n"/>
      <c r="AD148" s="237" t="n"/>
      <c r="AE148" s="237" t="n"/>
      <c r="AF148" s="237" t="n"/>
      <c r="AG148" s="237" t="n"/>
      <c r="AH148" s="237" t="n"/>
      <c r="AI148" s="237" t="n"/>
      <c r="AJ148" s="237" t="n"/>
      <c r="AK148" s="237" t="n"/>
      <c r="AL148" s="237" t="n"/>
      <c r="AM148" s="237" t="n"/>
      <c r="AN148" s="237" t="n"/>
      <c r="AO148" s="237" t="n"/>
      <c r="AP148" s="237" t="n"/>
      <c r="AQ148" s="237" t="n"/>
      <c r="AR148" s="237" t="n"/>
      <c r="AS148" s="237" t="n"/>
      <c r="AT148" s="237" t="n"/>
      <c r="AU148" s="237" t="n"/>
      <c r="AV148" s="237" t="n"/>
      <c r="AW148" s="237" t="n"/>
      <c r="AX148" s="237" t="n"/>
      <c r="AY148" s="237" t="n"/>
      <c r="AZ148" s="237" t="n"/>
      <c r="BA148" s="237" t="n"/>
      <c r="BB148" s="237" t="n"/>
      <c r="BC148" s="237" t="n"/>
      <c r="BD148" s="237" t="n"/>
      <c r="BE148" s="237" t="n"/>
      <c r="BF148" s="237" t="n"/>
      <c r="BG148" s="237" t="n"/>
      <c r="BH148" s="237" t="n"/>
      <c r="BI148" s="237" t="n"/>
      <c r="BJ148" s="237" t="n"/>
      <c r="BK148" s="237" t="n"/>
      <c r="BL148" s="237" t="n"/>
      <c r="BM148" s="237" t="n"/>
      <c r="BN148" s="237" t="n"/>
      <c r="BO148" s="237" t="n"/>
      <c r="BP148" s="237" t="n"/>
      <c r="BQ148" s="237" t="n"/>
      <c r="BR148" s="237" t="n"/>
      <c r="BS148" s="237" t="n"/>
      <c r="BT148" s="237" t="n"/>
      <c r="BU148" s="237" t="n"/>
      <c r="BV148" s="237" t="n"/>
      <c r="BW148" s="237" t="n"/>
      <c r="BX148" s="237" t="n"/>
      <c r="BY148" s="237" t="n"/>
      <c r="BZ148" s="237" t="n"/>
      <c r="CA148" s="237" t="n"/>
      <c r="CB148" s="237" t="n"/>
      <c r="CC148" s="237" t="n"/>
      <c r="CD148" s="237" t="n"/>
      <c r="CE148" s="237" t="n"/>
      <c r="CF148" s="237" t="n"/>
      <c r="CG148" s="237" t="n"/>
      <c r="CH148" s="237" t="n"/>
      <c r="CI148" s="237" t="n"/>
    </row>
    <row r="149" ht="14" customHeight="1">
      <c r="A149" s="237" t="n"/>
      <c r="B149" s="237" t="n"/>
      <c r="C149" s="237" t="n"/>
      <c r="E149" s="239" t="n"/>
      <c r="F149" s="237" t="n"/>
      <c r="G149" s="237" t="n"/>
      <c r="H149" s="237" t="n"/>
      <c r="I149" s="237" t="n"/>
      <c r="J149" s="237" t="n"/>
      <c r="K149" s="237" t="n"/>
      <c r="L149" s="237" t="n"/>
      <c r="M149" s="237" t="n"/>
      <c r="N149" s="237" t="n"/>
      <c r="O149" s="237" t="n"/>
      <c r="P149" s="237" t="n"/>
      <c r="Q149" s="237" t="n"/>
      <c r="R149" s="237" t="n"/>
      <c r="S149" s="237" t="n"/>
      <c r="T149" s="237" t="n"/>
      <c r="U149" s="237" t="n"/>
      <c r="V149" s="237" t="n"/>
      <c r="W149" s="237" t="n"/>
      <c r="X149" s="237" t="n"/>
      <c r="Y149" s="237" t="n"/>
      <c r="Z149" s="240" t="n"/>
      <c r="AA149" s="237" t="n"/>
      <c r="AB149" s="245" t="n"/>
      <c r="AC149" s="237" t="n"/>
      <c r="AD149" s="237" t="n"/>
      <c r="AE149" s="237" t="n"/>
      <c r="AF149" s="237" t="n"/>
      <c r="AG149" s="237" t="n"/>
      <c r="AH149" s="237" t="n"/>
      <c r="AI149" s="237" t="n"/>
      <c r="AJ149" s="237" t="n"/>
      <c r="AK149" s="237" t="n"/>
      <c r="AL149" s="237" t="n"/>
      <c r="AM149" s="237" t="n"/>
      <c r="AN149" s="237" t="n"/>
      <c r="AO149" s="237" t="n"/>
      <c r="AP149" s="237" t="n"/>
      <c r="AQ149" s="237" t="n"/>
      <c r="AR149" s="237" t="n"/>
      <c r="AS149" s="237" t="n"/>
      <c r="AT149" s="237" t="n"/>
      <c r="AU149" s="237" t="n"/>
      <c r="AV149" s="237" t="n"/>
      <c r="AW149" s="237" t="n"/>
      <c r="AX149" s="237" t="n"/>
      <c r="AY149" s="237" t="n"/>
      <c r="AZ149" s="237" t="n"/>
      <c r="BA149" s="237" t="n"/>
      <c r="BB149" s="237" t="n"/>
      <c r="BC149" s="237" t="n"/>
      <c r="BD149" s="237" t="n"/>
      <c r="BE149" s="237" t="n"/>
      <c r="BF149" s="237" t="n"/>
      <c r="BG149" s="237" t="n"/>
      <c r="BH149" s="237" t="n"/>
      <c r="BI149" s="237" t="n"/>
      <c r="BJ149" s="237" t="n"/>
      <c r="BK149" s="237" t="n"/>
      <c r="BL149" s="237" t="n"/>
      <c r="BM149" s="237" t="n"/>
      <c r="BN149" s="237" t="n"/>
      <c r="BO149" s="237" t="n"/>
      <c r="BP149" s="237" t="n"/>
      <c r="BQ149" s="237" t="n"/>
      <c r="BR149" s="237" t="n"/>
      <c r="BS149" s="237" t="n"/>
      <c r="BT149" s="237" t="n"/>
      <c r="BU149" s="237" t="n"/>
      <c r="BV149" s="237" t="n"/>
      <c r="BW149" s="237" t="n"/>
      <c r="BX149" s="237" t="n"/>
      <c r="BY149" s="237" t="n"/>
      <c r="BZ149" s="237" t="n"/>
      <c r="CA149" s="237" t="n"/>
      <c r="CB149" s="237" t="n"/>
      <c r="CC149" s="237" t="n"/>
      <c r="CD149" s="237" t="n"/>
      <c r="CE149" s="237" t="n"/>
      <c r="CF149" s="237" t="n"/>
      <c r="CG149" s="237" t="n"/>
      <c r="CH149" s="237" t="n"/>
      <c r="CI149" s="237" t="n"/>
    </row>
    <row r="150" ht="14" customHeight="1">
      <c r="A150" s="237" t="n"/>
      <c r="B150" s="237" t="n"/>
      <c r="C150" s="237" t="n"/>
      <c r="E150" s="239" t="n"/>
      <c r="F150" s="237" t="n"/>
      <c r="G150" s="237" t="n"/>
      <c r="H150" s="237" t="n"/>
      <c r="I150" s="237" t="n"/>
      <c r="J150" s="237" t="n"/>
      <c r="K150" s="237" t="n"/>
      <c r="L150" s="237" t="n"/>
      <c r="M150" s="237" t="n"/>
      <c r="N150" s="237" t="n"/>
      <c r="O150" s="237" t="n"/>
      <c r="P150" s="237" t="n"/>
      <c r="Q150" s="237" t="n"/>
      <c r="R150" s="237" t="n"/>
      <c r="S150" s="237" t="n"/>
      <c r="T150" s="237" t="n"/>
      <c r="U150" s="237" t="n"/>
      <c r="V150" s="237" t="n"/>
      <c r="W150" s="237" t="n"/>
      <c r="X150" s="237" t="n"/>
      <c r="Y150" s="237" t="n"/>
      <c r="Z150" s="240" t="n"/>
      <c r="AA150" s="237" t="n"/>
      <c r="AB150" s="245" t="n"/>
      <c r="AC150" s="237" t="n"/>
      <c r="AD150" s="237" t="n"/>
      <c r="AE150" s="237" t="n"/>
      <c r="AF150" s="237" t="n"/>
      <c r="AG150" s="237" t="n"/>
      <c r="AH150" s="237" t="n"/>
      <c r="AI150" s="237" t="n"/>
      <c r="AJ150" s="237" t="n"/>
      <c r="AK150" s="237" t="n"/>
      <c r="AL150" s="237" t="n"/>
      <c r="AM150" s="237" t="n"/>
      <c r="AN150" s="237" t="n"/>
      <c r="AO150" s="237" t="n"/>
      <c r="AP150" s="237" t="n"/>
      <c r="AQ150" s="237" t="n"/>
      <c r="AR150" s="237" t="n"/>
      <c r="AS150" s="237" t="n"/>
      <c r="AT150" s="237" t="n"/>
      <c r="AU150" s="237" t="n"/>
      <c r="AV150" s="237" t="n"/>
      <c r="AW150" s="237" t="n"/>
      <c r="AX150" s="237" t="n"/>
      <c r="AY150" s="237" t="n"/>
      <c r="AZ150" s="237" t="n"/>
      <c r="BA150" s="237" t="n"/>
      <c r="BB150" s="237" t="n"/>
      <c r="BC150" s="237" t="n"/>
      <c r="BD150" s="237" t="n"/>
      <c r="BE150" s="237" t="n"/>
      <c r="BF150" s="237" t="n"/>
      <c r="BG150" s="237" t="n"/>
      <c r="BH150" s="237" t="n"/>
      <c r="BI150" s="237" t="n"/>
      <c r="BJ150" s="237" t="n"/>
      <c r="BK150" s="237" t="n"/>
      <c r="BL150" s="237" t="n"/>
      <c r="BM150" s="237" t="n"/>
      <c r="BN150" s="237" t="n"/>
      <c r="BO150" s="237" t="n"/>
      <c r="BP150" s="237" t="n"/>
      <c r="BQ150" s="237" t="n"/>
      <c r="BR150" s="237" t="n"/>
      <c r="BS150" s="237" t="n"/>
      <c r="BT150" s="237" t="n"/>
      <c r="BU150" s="237" t="n"/>
      <c r="BV150" s="237" t="n"/>
      <c r="BW150" s="237" t="n"/>
      <c r="BX150" s="237" t="n"/>
      <c r="BY150" s="237" t="n"/>
      <c r="BZ150" s="237" t="n"/>
      <c r="CA150" s="237" t="n"/>
      <c r="CB150" s="237" t="n"/>
      <c r="CC150" s="237" t="n"/>
      <c r="CD150" s="237" t="n"/>
      <c r="CE150" s="237" t="n"/>
      <c r="CF150" s="237" t="n"/>
      <c r="CG150" s="237" t="n"/>
      <c r="CH150" s="237" t="n"/>
      <c r="CI150" s="237" t="n"/>
    </row>
    <row r="151" ht="14" customHeight="1">
      <c r="A151" s="237" t="n"/>
      <c r="B151" s="237" t="n"/>
      <c r="C151" s="237" t="n"/>
      <c r="E151" s="239" t="n"/>
      <c r="F151" s="237" t="n"/>
      <c r="G151" s="237" t="n"/>
      <c r="H151" s="237" t="n"/>
      <c r="I151" s="237" t="n"/>
      <c r="J151" s="237" t="n"/>
      <c r="K151" s="237" t="n"/>
      <c r="L151" s="237" t="n"/>
      <c r="M151" s="237" t="n"/>
      <c r="N151" s="237" t="n"/>
      <c r="O151" s="237" t="n"/>
      <c r="P151" s="237" t="n"/>
      <c r="Q151" s="237" t="n"/>
      <c r="R151" s="237" t="n"/>
      <c r="S151" s="237" t="n"/>
      <c r="T151" s="237" t="n"/>
      <c r="U151" s="237" t="n"/>
      <c r="V151" s="237" t="n"/>
      <c r="W151" s="237" t="n"/>
      <c r="X151" s="237" t="n"/>
      <c r="Y151" s="237" t="n"/>
      <c r="Z151" s="240" t="n"/>
      <c r="AA151" s="237" t="n"/>
      <c r="AB151" s="245" t="n"/>
      <c r="AC151" s="237" t="n"/>
      <c r="AD151" s="237" t="n"/>
      <c r="AE151" s="237" t="n"/>
      <c r="AF151" s="237" t="n"/>
      <c r="AG151" s="237" t="n"/>
      <c r="AH151" s="237" t="n"/>
      <c r="AI151" s="237" t="n"/>
      <c r="AJ151" s="237" t="n"/>
      <c r="AK151" s="237" t="n"/>
      <c r="AL151" s="237" t="n"/>
      <c r="AM151" s="237" t="n"/>
      <c r="AN151" s="237" t="n"/>
      <c r="AO151" s="237" t="n"/>
      <c r="AP151" s="237" t="n"/>
      <c r="AQ151" s="237" t="n"/>
      <c r="AR151" s="237" t="n"/>
      <c r="AS151" s="237" t="n"/>
      <c r="AT151" s="237" t="n"/>
      <c r="AU151" s="237" t="n"/>
      <c r="AV151" s="237" t="n"/>
      <c r="AW151" s="237" t="n"/>
      <c r="AX151" s="237" t="n"/>
      <c r="AY151" s="237" t="n"/>
      <c r="AZ151" s="237" t="n"/>
      <c r="BA151" s="237" t="n"/>
      <c r="BB151" s="237" t="n"/>
      <c r="BC151" s="237" t="n"/>
      <c r="BD151" s="237" t="n"/>
      <c r="BE151" s="237" t="n"/>
      <c r="BF151" s="237" t="n"/>
      <c r="BG151" s="237" t="n"/>
      <c r="BH151" s="237" t="n"/>
      <c r="BI151" s="237" t="n"/>
      <c r="BJ151" s="237" t="n"/>
      <c r="BK151" s="237" t="n"/>
      <c r="BL151" s="237" t="n"/>
      <c r="BM151" s="237" t="n"/>
      <c r="BN151" s="237" t="n"/>
      <c r="BO151" s="237" t="n"/>
      <c r="BP151" s="237" t="n"/>
      <c r="BQ151" s="237" t="n"/>
      <c r="BR151" s="237" t="n"/>
      <c r="BS151" s="237" t="n"/>
      <c r="BT151" s="237" t="n"/>
      <c r="BU151" s="237" t="n"/>
      <c r="BV151" s="237" t="n"/>
      <c r="BW151" s="237" t="n"/>
      <c r="BX151" s="237" t="n"/>
      <c r="BY151" s="237" t="n"/>
      <c r="BZ151" s="237" t="n"/>
      <c r="CA151" s="237" t="n"/>
      <c r="CB151" s="237" t="n"/>
      <c r="CC151" s="237" t="n"/>
      <c r="CD151" s="237" t="n"/>
      <c r="CE151" s="237" t="n"/>
      <c r="CF151" s="237" t="n"/>
      <c r="CG151" s="237" t="n"/>
      <c r="CH151" s="237" t="n"/>
      <c r="CI151" s="237" t="n"/>
    </row>
    <row r="152" ht="14" customHeight="1">
      <c r="A152" s="237" t="n"/>
      <c r="B152" s="237" t="n"/>
      <c r="C152" s="237" t="n"/>
      <c r="E152" s="239" t="n"/>
      <c r="F152" s="237" t="n"/>
      <c r="G152" s="237" t="n"/>
      <c r="H152" s="237" t="n"/>
      <c r="I152" s="237" t="n"/>
      <c r="J152" s="237" t="n"/>
      <c r="K152" s="237" t="n"/>
      <c r="L152" s="237" t="n"/>
      <c r="M152" s="237" t="n"/>
      <c r="N152" s="237" t="n"/>
      <c r="O152" s="237" t="n"/>
      <c r="P152" s="237" t="n"/>
      <c r="Q152" s="237" t="n"/>
      <c r="R152" s="237" t="n"/>
      <c r="S152" s="237" t="n"/>
      <c r="T152" s="237" t="n"/>
      <c r="U152" s="237" t="n"/>
      <c r="V152" s="237" t="n"/>
      <c r="W152" s="237" t="n"/>
      <c r="X152" s="237" t="n"/>
      <c r="Y152" s="237" t="n"/>
      <c r="Z152" s="240" t="n"/>
      <c r="AA152" s="237" t="n"/>
      <c r="AB152" s="245" t="n"/>
      <c r="AC152" s="237" t="n"/>
      <c r="AD152" s="237" t="n"/>
      <c r="AE152" s="237" t="n"/>
      <c r="AF152" s="237" t="n"/>
      <c r="AG152" s="237" t="n"/>
      <c r="AH152" s="237" t="n"/>
      <c r="AI152" s="237" t="n"/>
      <c r="AJ152" s="237" t="n"/>
      <c r="AK152" s="237" t="n"/>
      <c r="AL152" s="237" t="n"/>
      <c r="AM152" s="237" t="n"/>
      <c r="AN152" s="237" t="n"/>
      <c r="AO152" s="237" t="n"/>
      <c r="AP152" s="237" t="n"/>
      <c r="AQ152" s="237" t="n"/>
      <c r="AR152" s="237" t="n"/>
      <c r="AS152" s="237" t="n"/>
      <c r="AT152" s="237" t="n"/>
      <c r="AU152" s="237" t="n"/>
      <c r="AV152" s="237" t="n"/>
      <c r="AW152" s="237" t="n"/>
      <c r="AX152" s="237" t="n"/>
      <c r="AY152" s="237" t="n"/>
      <c r="AZ152" s="237" t="n"/>
      <c r="BA152" s="237" t="n"/>
      <c r="BB152" s="237" t="n"/>
      <c r="BC152" s="237" t="n"/>
      <c r="BD152" s="237" t="n"/>
      <c r="BE152" s="237" t="n"/>
      <c r="BF152" s="237" t="n"/>
      <c r="BG152" s="237" t="n"/>
      <c r="BH152" s="237" t="n"/>
      <c r="BI152" s="237" t="n"/>
      <c r="BJ152" s="237" t="n"/>
      <c r="BK152" s="237" t="n"/>
      <c r="BL152" s="237" t="n"/>
      <c r="BM152" s="237" t="n"/>
      <c r="BN152" s="237" t="n"/>
      <c r="BO152" s="237" t="n"/>
      <c r="BP152" s="237" t="n"/>
      <c r="BQ152" s="237" t="n"/>
      <c r="BR152" s="237" t="n"/>
      <c r="BS152" s="237" t="n"/>
      <c r="BT152" s="237" t="n"/>
      <c r="BU152" s="237" t="n"/>
      <c r="BV152" s="237" t="n"/>
      <c r="BW152" s="237" t="n"/>
      <c r="BX152" s="237" t="n"/>
      <c r="BY152" s="237" t="n"/>
      <c r="BZ152" s="237" t="n"/>
      <c r="CA152" s="237" t="n"/>
      <c r="CB152" s="237" t="n"/>
      <c r="CC152" s="237" t="n"/>
      <c r="CD152" s="237" t="n"/>
      <c r="CE152" s="237" t="n"/>
      <c r="CF152" s="237" t="n"/>
      <c r="CG152" s="237" t="n"/>
      <c r="CH152" s="237" t="n"/>
      <c r="CI152" s="237" t="n"/>
    </row>
    <row r="153" ht="14" customHeight="1">
      <c r="A153" s="237" t="n"/>
      <c r="B153" s="237" t="n"/>
      <c r="C153" s="237" t="n"/>
      <c r="E153" s="239" t="n"/>
      <c r="F153" s="237" t="n"/>
      <c r="G153" s="237" t="n"/>
      <c r="H153" s="237" t="n"/>
      <c r="I153" s="237" t="n"/>
      <c r="J153" s="237" t="n"/>
      <c r="K153" s="237" t="n"/>
      <c r="L153" s="237" t="n"/>
      <c r="M153" s="237" t="n"/>
      <c r="N153" s="237" t="n"/>
      <c r="O153" s="237" t="n"/>
      <c r="P153" s="237" t="n"/>
      <c r="Q153" s="237" t="n"/>
      <c r="R153" s="237" t="n"/>
      <c r="S153" s="237" t="n"/>
      <c r="T153" s="237" t="n"/>
      <c r="U153" s="237" t="n"/>
      <c r="V153" s="237" t="n"/>
      <c r="W153" s="237" t="n"/>
      <c r="X153" s="237" t="n"/>
      <c r="Y153" s="237" t="n"/>
      <c r="Z153" s="240" t="n"/>
      <c r="AA153" s="237" t="n"/>
      <c r="AB153" s="245" t="n"/>
      <c r="AC153" s="237" t="n"/>
      <c r="AD153" s="237" t="n"/>
      <c r="AE153" s="237" t="n"/>
      <c r="AF153" s="237" t="n"/>
      <c r="AG153" s="237" t="n"/>
      <c r="AH153" s="237" t="n"/>
      <c r="AI153" s="237" t="n"/>
      <c r="AJ153" s="237" t="n"/>
      <c r="AK153" s="237" t="n"/>
      <c r="AL153" s="237" t="n"/>
      <c r="AM153" s="237" t="n"/>
      <c r="AN153" s="237" t="n"/>
      <c r="AO153" s="237" t="n"/>
      <c r="AP153" s="237" t="n"/>
      <c r="AQ153" s="237" t="n"/>
      <c r="AR153" s="237" t="n"/>
      <c r="AS153" s="237" t="n"/>
      <c r="AT153" s="237" t="n"/>
      <c r="AU153" s="237" t="n"/>
      <c r="AV153" s="237" t="n"/>
      <c r="AW153" s="237" t="n"/>
      <c r="AX153" s="237" t="n"/>
      <c r="AY153" s="237" t="n"/>
      <c r="AZ153" s="237" t="n"/>
      <c r="BA153" s="237" t="n"/>
      <c r="BB153" s="237" t="n"/>
      <c r="BC153" s="237" t="n"/>
      <c r="BD153" s="237" t="n"/>
      <c r="BE153" s="237" t="n"/>
      <c r="BF153" s="237" t="n"/>
      <c r="BG153" s="237" t="n"/>
      <c r="BH153" s="237" t="n"/>
      <c r="BI153" s="237" t="n"/>
      <c r="BJ153" s="237" t="n"/>
      <c r="BK153" s="237" t="n"/>
      <c r="BL153" s="237" t="n"/>
      <c r="BM153" s="237" t="n"/>
      <c r="BN153" s="237" t="n"/>
      <c r="BO153" s="237" t="n"/>
      <c r="BP153" s="237" t="n"/>
      <c r="BQ153" s="237" t="n"/>
      <c r="BR153" s="237" t="n"/>
      <c r="BS153" s="237" t="n"/>
      <c r="BT153" s="237" t="n"/>
      <c r="BU153" s="237" t="n"/>
      <c r="BV153" s="237" t="n"/>
      <c r="BW153" s="237" t="n"/>
      <c r="BX153" s="237" t="n"/>
      <c r="BY153" s="237" t="n"/>
      <c r="BZ153" s="237" t="n"/>
      <c r="CA153" s="237" t="n"/>
      <c r="CB153" s="237" t="n"/>
      <c r="CC153" s="237" t="n"/>
      <c r="CD153" s="237" t="n"/>
      <c r="CE153" s="237" t="n"/>
      <c r="CF153" s="237" t="n"/>
      <c r="CG153" s="237" t="n"/>
      <c r="CH153" s="237" t="n"/>
      <c r="CI153" s="237" t="n"/>
    </row>
    <row r="154" ht="14" customHeight="1">
      <c r="A154" s="237" t="n"/>
      <c r="B154" s="237" t="n"/>
      <c r="C154" s="237" t="n"/>
      <c r="E154" s="239" t="n"/>
      <c r="F154" s="237" t="n"/>
      <c r="G154" s="237" t="n"/>
      <c r="H154" s="237" t="n"/>
      <c r="I154" s="237" t="n"/>
      <c r="J154" s="237" t="n"/>
      <c r="K154" s="237" t="n"/>
      <c r="L154" s="237" t="n"/>
      <c r="M154" s="237" t="n"/>
      <c r="N154" s="237" t="n"/>
      <c r="O154" s="237" t="n"/>
      <c r="P154" s="237" t="n"/>
      <c r="Q154" s="237" t="n"/>
      <c r="R154" s="237" t="n"/>
      <c r="S154" s="237" t="n"/>
      <c r="T154" s="237" t="n"/>
      <c r="U154" s="237" t="n"/>
      <c r="V154" s="237" t="n"/>
      <c r="W154" s="237" t="n"/>
      <c r="X154" s="237" t="n"/>
      <c r="Y154" s="237" t="n"/>
      <c r="Z154" s="240" t="n"/>
      <c r="AA154" s="237" t="n"/>
      <c r="AB154" s="245" t="n"/>
      <c r="AC154" s="237" t="n"/>
      <c r="AD154" s="237" t="n"/>
      <c r="AE154" s="237" t="n"/>
      <c r="AF154" s="237" t="n"/>
      <c r="AG154" s="237" t="n"/>
      <c r="AH154" s="237" t="n"/>
      <c r="AI154" s="237" t="n"/>
      <c r="AJ154" s="237" t="n"/>
      <c r="AK154" s="237" t="n"/>
      <c r="AL154" s="237" t="n"/>
      <c r="AM154" s="237" t="n"/>
      <c r="AN154" s="237" t="n"/>
      <c r="AO154" s="237" t="n"/>
      <c r="AP154" s="237" t="n"/>
      <c r="AQ154" s="237" t="n"/>
      <c r="AR154" s="237" t="n"/>
      <c r="AS154" s="237" t="n"/>
      <c r="AT154" s="237" t="n"/>
      <c r="AU154" s="237" t="n"/>
      <c r="AV154" s="237" t="n"/>
      <c r="AW154" s="237" t="n"/>
      <c r="AX154" s="237" t="n"/>
      <c r="AY154" s="237" t="n"/>
      <c r="AZ154" s="237" t="n"/>
      <c r="BA154" s="237" t="n"/>
      <c r="BB154" s="237" t="n"/>
      <c r="BC154" s="237" t="n"/>
      <c r="BD154" s="237" t="n"/>
      <c r="BE154" s="237" t="n"/>
      <c r="BF154" s="237" t="n"/>
      <c r="BG154" s="237" t="n"/>
      <c r="BH154" s="237" t="n"/>
      <c r="BI154" s="237" t="n"/>
      <c r="BJ154" s="237" t="n"/>
      <c r="BK154" s="237" t="n"/>
      <c r="BL154" s="237" t="n"/>
      <c r="BM154" s="237" t="n"/>
      <c r="BN154" s="237" t="n"/>
      <c r="BO154" s="237" t="n"/>
      <c r="BP154" s="237" t="n"/>
      <c r="BQ154" s="237" t="n"/>
      <c r="BR154" s="237" t="n"/>
      <c r="BS154" s="237" t="n"/>
      <c r="BT154" s="237" t="n"/>
      <c r="BU154" s="237" t="n"/>
      <c r="BV154" s="237" t="n"/>
      <c r="BW154" s="237" t="n"/>
      <c r="BX154" s="237" t="n"/>
      <c r="BY154" s="237" t="n"/>
      <c r="BZ154" s="237" t="n"/>
      <c r="CA154" s="237" t="n"/>
      <c r="CB154" s="237" t="n"/>
      <c r="CC154" s="237" t="n"/>
      <c r="CD154" s="237" t="n"/>
      <c r="CE154" s="237" t="n"/>
      <c r="CF154" s="237" t="n"/>
      <c r="CG154" s="237" t="n"/>
      <c r="CH154" s="237" t="n"/>
      <c r="CI154" s="237" t="n"/>
    </row>
    <row r="155" ht="14" customHeight="1">
      <c r="A155" s="237" t="n"/>
      <c r="B155" s="237" t="n"/>
      <c r="C155" s="237" t="n"/>
      <c r="E155" s="239" t="n"/>
      <c r="F155" s="237" t="n"/>
      <c r="G155" s="237" t="n"/>
      <c r="H155" s="237" t="n"/>
      <c r="I155" s="237" t="n"/>
      <c r="J155" s="237" t="n"/>
      <c r="K155" s="237" t="n"/>
      <c r="L155" s="237" t="n"/>
      <c r="M155" s="237" t="n"/>
      <c r="N155" s="237" t="n"/>
      <c r="O155" s="237" t="n"/>
      <c r="P155" s="237" t="n"/>
      <c r="Q155" s="237" t="n"/>
      <c r="R155" s="237" t="n"/>
      <c r="S155" s="237" t="n"/>
      <c r="T155" s="237" t="n"/>
      <c r="U155" s="237" t="n"/>
      <c r="V155" s="237" t="n"/>
      <c r="W155" s="237" t="n"/>
      <c r="X155" s="237" t="n"/>
      <c r="Y155" s="237" t="n"/>
      <c r="Z155" s="240" t="n"/>
      <c r="AA155" s="237" t="n"/>
      <c r="AB155" s="245" t="n"/>
      <c r="AC155" s="237" t="n"/>
      <c r="AD155" s="237" t="n"/>
      <c r="AE155" s="237" t="n"/>
      <c r="AF155" s="237" t="n"/>
      <c r="AG155" s="237" t="n"/>
      <c r="AH155" s="237" t="n"/>
      <c r="AI155" s="237" t="n"/>
      <c r="AJ155" s="237" t="n"/>
      <c r="AK155" s="237" t="n"/>
      <c r="AL155" s="237" t="n"/>
      <c r="AM155" s="237" t="n"/>
      <c r="AN155" s="237" t="n"/>
      <c r="AO155" s="237" t="n"/>
      <c r="AP155" s="237" t="n"/>
      <c r="AQ155" s="237" t="n"/>
      <c r="AR155" s="237" t="n"/>
      <c r="AS155" s="237" t="n"/>
      <c r="AT155" s="237" t="n"/>
      <c r="AU155" s="237" t="n"/>
      <c r="AV155" s="237" t="n"/>
      <c r="AW155" s="237" t="n"/>
      <c r="AX155" s="237" t="n"/>
      <c r="AY155" s="237" t="n"/>
      <c r="AZ155" s="237" t="n"/>
      <c r="BA155" s="237" t="n"/>
      <c r="BB155" s="237" t="n"/>
      <c r="BC155" s="237" t="n"/>
      <c r="BD155" s="237" t="n"/>
      <c r="BE155" s="237" t="n"/>
      <c r="BF155" s="237" t="n"/>
      <c r="BG155" s="237" t="n"/>
      <c r="BH155" s="237" t="n"/>
      <c r="BI155" s="237" t="n"/>
      <c r="BJ155" s="237" t="n"/>
      <c r="BK155" s="237" t="n"/>
      <c r="BL155" s="237" t="n"/>
      <c r="BM155" s="237" t="n"/>
      <c r="BN155" s="237" t="n"/>
      <c r="BO155" s="237" t="n"/>
      <c r="BP155" s="237" t="n"/>
      <c r="BQ155" s="237" t="n"/>
      <c r="BR155" s="237" t="n"/>
      <c r="BS155" s="237" t="n"/>
      <c r="BT155" s="237" t="n"/>
      <c r="BU155" s="237" t="n"/>
      <c r="BV155" s="237" t="n"/>
      <c r="BW155" s="237" t="n"/>
      <c r="BX155" s="237" t="n"/>
      <c r="BY155" s="237" t="n"/>
      <c r="BZ155" s="237" t="n"/>
      <c r="CA155" s="237" t="n"/>
      <c r="CB155" s="237" t="n"/>
      <c r="CC155" s="237" t="n"/>
      <c r="CD155" s="237" t="n"/>
      <c r="CE155" s="237" t="n"/>
      <c r="CF155" s="237" t="n"/>
      <c r="CG155" s="237" t="n"/>
      <c r="CH155" s="237" t="n"/>
      <c r="CI155" s="237" t="n"/>
    </row>
    <row r="156" ht="14" customHeight="1">
      <c r="A156" s="237" t="n"/>
      <c r="B156" s="237" t="n"/>
      <c r="C156" s="237" t="n"/>
      <c r="E156" s="239" t="n"/>
      <c r="F156" s="237" t="n"/>
      <c r="G156" s="237" t="n"/>
      <c r="H156" s="237" t="n"/>
      <c r="I156" s="237" t="n"/>
      <c r="J156" s="237" t="n"/>
      <c r="K156" s="237" t="n"/>
      <c r="L156" s="237" t="n"/>
      <c r="M156" s="237" t="n"/>
      <c r="N156" s="237" t="n"/>
      <c r="O156" s="237" t="n"/>
      <c r="P156" s="237" t="n"/>
      <c r="Q156" s="237" t="n"/>
      <c r="R156" s="237" t="n"/>
      <c r="S156" s="237" t="n"/>
      <c r="T156" s="237" t="n"/>
      <c r="U156" s="237" t="n"/>
      <c r="V156" s="237" t="n"/>
      <c r="W156" s="237" t="n"/>
      <c r="X156" s="237" t="n"/>
      <c r="Y156" s="237" t="n"/>
      <c r="Z156" s="240" t="n"/>
      <c r="AA156" s="237" t="n"/>
      <c r="AB156" s="245" t="n"/>
      <c r="AC156" s="237" t="n"/>
      <c r="AD156" s="237" t="n"/>
      <c r="AE156" s="237" t="n"/>
      <c r="AF156" s="237" t="n"/>
      <c r="AG156" s="237" t="n"/>
      <c r="AH156" s="237" t="n"/>
      <c r="AI156" s="237" t="n"/>
      <c r="AJ156" s="237" t="n"/>
      <c r="AK156" s="237" t="n"/>
      <c r="AL156" s="237" t="n"/>
      <c r="AM156" s="237" t="n"/>
      <c r="AN156" s="237" t="n"/>
      <c r="AO156" s="237" t="n"/>
      <c r="AP156" s="237" t="n"/>
      <c r="AQ156" s="237" t="n"/>
      <c r="AR156" s="237" t="n"/>
      <c r="AS156" s="237" t="n"/>
      <c r="AT156" s="237" t="n"/>
      <c r="AU156" s="237" t="n"/>
      <c r="AV156" s="237" t="n"/>
      <c r="AW156" s="237" t="n"/>
      <c r="AX156" s="237" t="n"/>
      <c r="AY156" s="237" t="n"/>
      <c r="AZ156" s="237" t="n"/>
      <c r="BA156" s="237" t="n"/>
      <c r="BB156" s="237" t="n"/>
      <c r="BC156" s="237" t="n"/>
      <c r="BD156" s="237" t="n"/>
      <c r="BE156" s="237" t="n"/>
      <c r="BF156" s="237" t="n"/>
      <c r="BG156" s="237" t="n"/>
      <c r="BH156" s="237" t="n"/>
      <c r="BI156" s="237" t="n"/>
      <c r="BJ156" s="237" t="n"/>
      <c r="BK156" s="237" t="n"/>
      <c r="BL156" s="237" t="n"/>
      <c r="BM156" s="237" t="n"/>
      <c r="BN156" s="237" t="n"/>
      <c r="BO156" s="237" t="n"/>
      <c r="BP156" s="237" t="n"/>
      <c r="BQ156" s="237" t="n"/>
      <c r="BR156" s="237" t="n"/>
      <c r="BS156" s="237" t="n"/>
      <c r="BT156" s="237" t="n"/>
      <c r="BU156" s="237" t="n"/>
      <c r="BV156" s="237" t="n"/>
      <c r="BW156" s="237" t="n"/>
      <c r="BX156" s="237" t="n"/>
      <c r="BY156" s="237" t="n"/>
      <c r="BZ156" s="237" t="n"/>
      <c r="CA156" s="237" t="n"/>
      <c r="CB156" s="237" t="n"/>
      <c r="CC156" s="237" t="n"/>
      <c r="CD156" s="237" t="n"/>
      <c r="CE156" s="237" t="n"/>
      <c r="CF156" s="237" t="n"/>
      <c r="CG156" s="237" t="n"/>
      <c r="CH156" s="237" t="n"/>
      <c r="CI156" s="237" t="n"/>
    </row>
    <row r="157" ht="14" customHeight="1">
      <c r="A157" s="237" t="n"/>
      <c r="B157" s="237" t="n"/>
      <c r="C157" s="237" t="n"/>
      <c r="E157" s="239" t="n"/>
      <c r="F157" s="237" t="n"/>
      <c r="G157" s="237" t="n"/>
      <c r="H157" s="237" t="n"/>
      <c r="I157" s="237" t="n"/>
      <c r="J157" s="237" t="n"/>
      <c r="K157" s="237" t="n"/>
      <c r="L157" s="237" t="n"/>
      <c r="M157" s="237" t="n"/>
      <c r="N157" s="237" t="n"/>
      <c r="O157" s="237" t="n"/>
      <c r="P157" s="237" t="n"/>
      <c r="Q157" s="237" t="n"/>
      <c r="R157" s="237" t="n"/>
      <c r="S157" s="237" t="n"/>
      <c r="T157" s="237" t="n"/>
      <c r="U157" s="237" t="n"/>
      <c r="V157" s="237" t="n"/>
      <c r="W157" s="237" t="n"/>
      <c r="X157" s="237" t="n"/>
      <c r="Y157" s="237" t="n"/>
      <c r="Z157" s="240" t="n"/>
      <c r="AA157" s="237" t="n"/>
      <c r="AB157" s="245" t="n"/>
      <c r="AC157" s="237" t="n"/>
      <c r="AD157" s="237" t="n"/>
      <c r="AE157" s="237" t="n"/>
      <c r="AF157" s="237" t="n"/>
      <c r="AG157" s="237" t="n"/>
      <c r="AH157" s="237" t="n"/>
      <c r="AI157" s="237" t="n"/>
      <c r="AJ157" s="237" t="n"/>
      <c r="AK157" s="237" t="n"/>
      <c r="AL157" s="237" t="n"/>
      <c r="AM157" s="237" t="n"/>
      <c r="AN157" s="237" t="n"/>
      <c r="AO157" s="237" t="n"/>
      <c r="AP157" s="237" t="n"/>
      <c r="AQ157" s="237" t="n"/>
      <c r="AR157" s="237" t="n"/>
      <c r="AS157" s="237" t="n"/>
      <c r="AT157" s="237" t="n"/>
      <c r="AU157" s="237" t="n"/>
      <c r="AV157" s="237" t="n"/>
      <c r="AW157" s="237" t="n"/>
      <c r="AX157" s="237" t="n"/>
      <c r="AY157" s="237" t="n"/>
      <c r="AZ157" s="237" t="n"/>
      <c r="BA157" s="237" t="n"/>
      <c r="BB157" s="237" t="n"/>
      <c r="BC157" s="237" t="n"/>
      <c r="BD157" s="237" t="n"/>
      <c r="BE157" s="237" t="n"/>
      <c r="BF157" s="237" t="n"/>
      <c r="BG157" s="237" t="n"/>
      <c r="BH157" s="237" t="n"/>
      <c r="BI157" s="237" t="n"/>
      <c r="BJ157" s="237" t="n"/>
      <c r="BK157" s="237" t="n"/>
      <c r="BL157" s="237" t="n"/>
      <c r="BM157" s="237" t="n"/>
      <c r="BN157" s="237" t="n"/>
      <c r="BO157" s="237" t="n"/>
      <c r="BP157" s="237" t="n"/>
      <c r="BQ157" s="237" t="n"/>
      <c r="BR157" s="237" t="n"/>
      <c r="BS157" s="237" t="n"/>
      <c r="BT157" s="237" t="n"/>
      <c r="BU157" s="237" t="n"/>
      <c r="BV157" s="237" t="n"/>
      <c r="BW157" s="237" t="n"/>
      <c r="BX157" s="237" t="n"/>
      <c r="BY157" s="237" t="n"/>
      <c r="BZ157" s="237" t="n"/>
      <c r="CA157" s="237" t="n"/>
      <c r="CB157" s="237" t="n"/>
      <c r="CC157" s="237" t="n"/>
      <c r="CD157" s="237" t="n"/>
      <c r="CE157" s="237" t="n"/>
      <c r="CF157" s="237" t="n"/>
      <c r="CG157" s="237" t="n"/>
      <c r="CH157" s="237" t="n"/>
      <c r="CI157" s="237" t="n"/>
    </row>
    <row r="158" ht="14" customHeight="1">
      <c r="A158" s="237" t="n"/>
      <c r="B158" s="237" t="n"/>
      <c r="C158" s="237" t="n"/>
      <c r="E158" s="239" t="n"/>
      <c r="F158" s="237" t="n"/>
      <c r="G158" s="237" t="n"/>
      <c r="H158" s="237" t="n"/>
      <c r="I158" s="237" t="n"/>
      <c r="J158" s="237" t="n"/>
      <c r="K158" s="237" t="n"/>
      <c r="L158" s="237" t="n"/>
      <c r="M158" s="237" t="n"/>
      <c r="N158" s="237" t="n"/>
      <c r="O158" s="237" t="n"/>
      <c r="P158" s="237" t="n"/>
      <c r="Q158" s="237" t="n"/>
      <c r="R158" s="237" t="n"/>
      <c r="S158" s="237" t="n"/>
      <c r="T158" s="237" t="n"/>
      <c r="U158" s="237" t="n"/>
      <c r="V158" s="237" t="n"/>
      <c r="W158" s="237" t="n"/>
      <c r="X158" s="237" t="n"/>
      <c r="Y158" s="237" t="n"/>
      <c r="Z158" s="240" t="n"/>
      <c r="AA158" s="237" t="n"/>
      <c r="AB158" s="245" t="n"/>
      <c r="AC158" s="237" t="n"/>
      <c r="AD158" s="237" t="n"/>
      <c r="AE158" s="237" t="n"/>
      <c r="AF158" s="237" t="n"/>
      <c r="AG158" s="237" t="n"/>
      <c r="AH158" s="237" t="n"/>
      <c r="AI158" s="237" t="n"/>
      <c r="AJ158" s="237" t="n"/>
      <c r="AK158" s="237" t="n"/>
      <c r="AL158" s="237" t="n"/>
      <c r="AM158" s="237" t="n"/>
      <c r="AN158" s="237" t="n"/>
      <c r="AO158" s="237" t="n"/>
      <c r="AP158" s="237" t="n"/>
      <c r="AQ158" s="237" t="n"/>
      <c r="AR158" s="237" t="n"/>
      <c r="AS158" s="237" t="n"/>
      <c r="AT158" s="237" t="n"/>
      <c r="AU158" s="237" t="n"/>
      <c r="AV158" s="237" t="n"/>
      <c r="AW158" s="237" t="n"/>
      <c r="AX158" s="237" t="n"/>
      <c r="AY158" s="237" t="n"/>
      <c r="AZ158" s="237" t="n"/>
      <c r="BA158" s="237" t="n"/>
      <c r="BB158" s="237" t="n"/>
      <c r="BC158" s="237" t="n"/>
      <c r="BD158" s="237" t="n"/>
      <c r="BE158" s="237" t="n"/>
      <c r="BF158" s="237" t="n"/>
      <c r="BG158" s="237" t="n"/>
      <c r="BH158" s="237" t="n"/>
      <c r="BI158" s="237" t="n"/>
      <c r="BJ158" s="237" t="n"/>
      <c r="BK158" s="237" t="n"/>
      <c r="BL158" s="237" t="n"/>
      <c r="BM158" s="237" t="n"/>
      <c r="BN158" s="237" t="n"/>
      <c r="BO158" s="237" t="n"/>
      <c r="BP158" s="237" t="n"/>
      <c r="BQ158" s="237" t="n"/>
      <c r="BR158" s="237" t="n"/>
      <c r="BS158" s="237" t="n"/>
      <c r="BT158" s="237" t="n"/>
      <c r="BU158" s="237" t="n"/>
      <c r="BV158" s="237" t="n"/>
      <c r="BW158" s="237" t="n"/>
      <c r="BX158" s="237" t="n"/>
      <c r="BY158" s="237" t="n"/>
      <c r="BZ158" s="237" t="n"/>
      <c r="CA158" s="237" t="n"/>
      <c r="CB158" s="237" t="n"/>
      <c r="CC158" s="237" t="n"/>
      <c r="CD158" s="237" t="n"/>
      <c r="CE158" s="237" t="n"/>
      <c r="CF158" s="237" t="n"/>
      <c r="CG158" s="237" t="n"/>
      <c r="CH158" s="237" t="n"/>
      <c r="CI158" s="237" t="n"/>
    </row>
    <row r="159" ht="14" customHeight="1">
      <c r="A159" s="237" t="n"/>
      <c r="B159" s="237" t="n"/>
      <c r="C159" s="237" t="n"/>
      <c r="E159" s="239" t="n"/>
      <c r="F159" s="237" t="n"/>
      <c r="G159" s="237" t="n"/>
      <c r="H159" s="237" t="n"/>
      <c r="I159" s="237" t="n"/>
      <c r="J159" s="237" t="n"/>
      <c r="K159" s="237" t="n"/>
      <c r="L159" s="237" t="n"/>
      <c r="M159" s="237" t="n"/>
      <c r="N159" s="237" t="n"/>
      <c r="O159" s="237" t="n"/>
      <c r="P159" s="237" t="n"/>
      <c r="Q159" s="237" t="n"/>
      <c r="R159" s="237" t="n"/>
      <c r="S159" s="237" t="n"/>
      <c r="T159" s="237" t="n"/>
      <c r="U159" s="237" t="n"/>
      <c r="V159" s="237" t="n"/>
      <c r="W159" s="237" t="n"/>
      <c r="X159" s="237" t="n"/>
      <c r="Y159" s="237" t="n"/>
      <c r="Z159" s="240" t="n"/>
      <c r="AA159" s="237" t="n"/>
      <c r="AB159" s="245" t="n"/>
      <c r="AC159" s="237" t="n"/>
      <c r="AD159" s="237" t="n"/>
      <c r="AE159" s="237" t="n"/>
      <c r="AF159" s="237" t="n"/>
      <c r="AG159" s="237" t="n"/>
      <c r="AH159" s="237" t="n"/>
      <c r="AI159" s="237" t="n"/>
      <c r="AJ159" s="237" t="n"/>
      <c r="AK159" s="237" t="n"/>
      <c r="AL159" s="237" t="n"/>
      <c r="AM159" s="237" t="n"/>
      <c r="AN159" s="237" t="n"/>
      <c r="AO159" s="237" t="n"/>
      <c r="AP159" s="237" t="n"/>
      <c r="AQ159" s="237" t="n"/>
      <c r="AR159" s="237" t="n"/>
      <c r="AS159" s="237" t="n"/>
      <c r="AT159" s="237" t="n"/>
      <c r="AU159" s="237" t="n"/>
      <c r="AV159" s="237" t="n"/>
      <c r="AW159" s="237" t="n"/>
      <c r="AX159" s="237" t="n"/>
      <c r="AY159" s="237" t="n"/>
      <c r="AZ159" s="237" t="n"/>
      <c r="BA159" s="237" t="n"/>
      <c r="BB159" s="237" t="n"/>
      <c r="BC159" s="237" t="n"/>
      <c r="BD159" s="237" t="n"/>
      <c r="BE159" s="237" t="n"/>
      <c r="BF159" s="237" t="n"/>
      <c r="BG159" s="237" t="n"/>
      <c r="BH159" s="237" t="n"/>
      <c r="BI159" s="237" t="n"/>
      <c r="BJ159" s="237" t="n"/>
      <c r="BK159" s="237" t="n"/>
      <c r="BL159" s="237" t="n"/>
      <c r="BM159" s="237" t="n"/>
      <c r="BN159" s="237" t="n"/>
      <c r="BO159" s="237" t="n"/>
      <c r="BP159" s="237" t="n"/>
      <c r="BQ159" s="237" t="n"/>
      <c r="BR159" s="237" t="n"/>
      <c r="BS159" s="237" t="n"/>
      <c r="BT159" s="237" t="n"/>
      <c r="BU159" s="237" t="n"/>
      <c r="BV159" s="237" t="n"/>
      <c r="BW159" s="237" t="n"/>
      <c r="BX159" s="237" t="n"/>
      <c r="BY159" s="237" t="n"/>
      <c r="BZ159" s="237" t="n"/>
      <c r="CA159" s="237" t="n"/>
      <c r="CB159" s="237" t="n"/>
      <c r="CC159" s="237" t="n"/>
      <c r="CD159" s="237" t="n"/>
      <c r="CE159" s="237" t="n"/>
      <c r="CF159" s="237" t="n"/>
      <c r="CG159" s="237" t="n"/>
      <c r="CH159" s="237" t="n"/>
      <c r="CI159" s="237" t="n"/>
    </row>
    <row r="160" ht="14" customHeight="1">
      <c r="A160" s="237" t="n"/>
      <c r="B160" s="237" t="n"/>
      <c r="C160" s="237" t="n"/>
      <c r="E160" s="239" t="n"/>
      <c r="F160" s="237" t="n"/>
      <c r="G160" s="237" t="n"/>
      <c r="H160" s="237" t="n"/>
      <c r="I160" s="237" t="n"/>
      <c r="J160" s="237" t="n"/>
      <c r="K160" s="237" t="n"/>
      <c r="L160" s="237" t="n"/>
      <c r="M160" s="237" t="n"/>
      <c r="N160" s="237" t="n"/>
      <c r="O160" s="237" t="n"/>
      <c r="P160" s="237" t="n"/>
      <c r="Q160" s="237" t="n"/>
      <c r="R160" s="237" t="n"/>
      <c r="S160" s="237" t="n"/>
      <c r="T160" s="237" t="n"/>
      <c r="U160" s="237" t="n"/>
      <c r="V160" s="237" t="n"/>
      <c r="W160" s="237" t="n"/>
      <c r="X160" s="237" t="n"/>
      <c r="Y160" s="237" t="n"/>
      <c r="Z160" s="240" t="n"/>
      <c r="AA160" s="237" t="n"/>
      <c r="AB160" s="245" t="n"/>
      <c r="AC160" s="237" t="n"/>
      <c r="AD160" s="237" t="n"/>
      <c r="AE160" s="237" t="n"/>
      <c r="AF160" s="237" t="n"/>
      <c r="AG160" s="237" t="n"/>
      <c r="AH160" s="237" t="n"/>
      <c r="AI160" s="237" t="n"/>
      <c r="AJ160" s="237" t="n"/>
      <c r="AK160" s="237" t="n"/>
      <c r="AL160" s="237" t="n"/>
      <c r="AM160" s="237" t="n"/>
      <c r="AN160" s="237" t="n"/>
      <c r="AO160" s="237" t="n"/>
      <c r="AP160" s="237" t="n"/>
      <c r="AQ160" s="237" t="n"/>
      <c r="AR160" s="237" t="n"/>
      <c r="AS160" s="237" t="n"/>
      <c r="AT160" s="237" t="n"/>
      <c r="AU160" s="237" t="n"/>
      <c r="AV160" s="237" t="n"/>
      <c r="AW160" s="237" t="n"/>
      <c r="AX160" s="237" t="n"/>
      <c r="AY160" s="237" t="n"/>
      <c r="AZ160" s="237" t="n"/>
      <c r="BA160" s="237" t="n"/>
      <c r="BB160" s="237" t="n"/>
      <c r="BC160" s="237" t="n"/>
      <c r="BD160" s="237" t="n"/>
      <c r="BE160" s="237" t="n"/>
      <c r="BF160" s="237" t="n"/>
      <c r="BG160" s="237" t="n"/>
      <c r="BH160" s="237" t="n"/>
      <c r="BI160" s="237" t="n"/>
      <c r="BJ160" s="237" t="n"/>
      <c r="BK160" s="237" t="n"/>
      <c r="BL160" s="237" t="n"/>
      <c r="BM160" s="237" t="n"/>
      <c r="BN160" s="237" t="n"/>
      <c r="BO160" s="237" t="n"/>
      <c r="BP160" s="237" t="n"/>
      <c r="BQ160" s="237" t="n"/>
      <c r="BR160" s="237" t="n"/>
      <c r="BS160" s="237" t="n"/>
      <c r="BT160" s="237" t="n"/>
      <c r="BU160" s="237" t="n"/>
      <c r="BV160" s="237" t="n"/>
      <c r="BW160" s="237" t="n"/>
      <c r="BX160" s="237" t="n"/>
      <c r="BY160" s="237" t="n"/>
      <c r="BZ160" s="237" t="n"/>
      <c r="CA160" s="237" t="n"/>
      <c r="CB160" s="237" t="n"/>
      <c r="CC160" s="237" t="n"/>
      <c r="CD160" s="237" t="n"/>
      <c r="CE160" s="237" t="n"/>
      <c r="CF160" s="237" t="n"/>
      <c r="CG160" s="237" t="n"/>
      <c r="CH160" s="237" t="n"/>
      <c r="CI160" s="237" t="n"/>
    </row>
    <row r="161" ht="14" customHeight="1">
      <c r="A161" s="237" t="n"/>
      <c r="B161" s="237" t="n"/>
      <c r="C161" s="237" t="n"/>
      <c r="E161" s="239" t="n"/>
      <c r="F161" s="237" t="n"/>
      <c r="G161" s="237" t="n"/>
      <c r="H161" s="237" t="n"/>
      <c r="I161" s="237" t="n"/>
      <c r="J161" s="237" t="n"/>
      <c r="K161" s="237" t="n"/>
      <c r="L161" s="237" t="n"/>
      <c r="M161" s="237" t="n"/>
      <c r="N161" s="237" t="n"/>
      <c r="O161" s="237" t="n"/>
      <c r="P161" s="237" t="n"/>
      <c r="Q161" s="237" t="n"/>
      <c r="R161" s="237" t="n"/>
      <c r="S161" s="237" t="n"/>
      <c r="T161" s="237" t="n"/>
      <c r="U161" s="237" t="n"/>
      <c r="V161" s="237" t="n"/>
      <c r="W161" s="237" t="n"/>
      <c r="X161" s="237" t="n"/>
      <c r="Y161" s="237" t="n"/>
      <c r="Z161" s="240" t="n"/>
      <c r="AA161" s="237" t="n"/>
      <c r="AB161" s="245" t="n"/>
      <c r="AC161" s="237" t="n"/>
      <c r="AD161" s="237" t="n"/>
      <c r="AE161" s="237" t="n"/>
      <c r="AF161" s="237" t="n"/>
      <c r="AG161" s="237" t="n"/>
      <c r="AH161" s="237" t="n"/>
      <c r="AI161" s="237" t="n"/>
      <c r="AJ161" s="237" t="n"/>
      <c r="AK161" s="237" t="n"/>
      <c r="AL161" s="237" t="n"/>
      <c r="AM161" s="237" t="n"/>
      <c r="AN161" s="237" t="n"/>
      <c r="AO161" s="237" t="n"/>
      <c r="AP161" s="237" t="n"/>
      <c r="AQ161" s="237" t="n"/>
      <c r="AR161" s="237" t="n"/>
      <c r="AS161" s="237" t="n"/>
      <c r="AT161" s="237" t="n"/>
      <c r="AU161" s="237" t="n"/>
      <c r="AV161" s="237" t="n"/>
      <c r="AW161" s="237" t="n"/>
      <c r="AX161" s="237" t="n"/>
      <c r="AY161" s="237" t="n"/>
      <c r="AZ161" s="237" t="n"/>
      <c r="BA161" s="237" t="n"/>
      <c r="BB161" s="237" t="n"/>
      <c r="BC161" s="237" t="n"/>
      <c r="BD161" s="237" t="n"/>
      <c r="BE161" s="237" t="n"/>
      <c r="BF161" s="237" t="n"/>
      <c r="BG161" s="237" t="n"/>
      <c r="BH161" s="237" t="n"/>
      <c r="BI161" s="237" t="n"/>
      <c r="BJ161" s="237" t="n"/>
      <c r="BK161" s="237" t="n"/>
      <c r="BL161" s="237" t="n"/>
      <c r="BM161" s="237" t="n"/>
      <c r="BN161" s="237" t="n"/>
      <c r="BO161" s="237" t="n"/>
      <c r="BP161" s="237" t="n"/>
      <c r="BQ161" s="237" t="n"/>
      <c r="BR161" s="237" t="n"/>
      <c r="BS161" s="237" t="n"/>
      <c r="BT161" s="237" t="n"/>
      <c r="BU161" s="237" t="n"/>
      <c r="BV161" s="237" t="n"/>
      <c r="BW161" s="237" t="n"/>
      <c r="BX161" s="237" t="n"/>
      <c r="BY161" s="237" t="n"/>
      <c r="BZ161" s="237" t="n"/>
      <c r="CA161" s="237" t="n"/>
      <c r="CB161" s="237" t="n"/>
      <c r="CC161" s="237" t="n"/>
      <c r="CD161" s="237" t="n"/>
      <c r="CE161" s="237" t="n"/>
      <c r="CF161" s="237" t="n"/>
      <c r="CG161" s="237" t="n"/>
      <c r="CH161" s="237" t="n"/>
      <c r="CI161" s="237" t="n"/>
    </row>
    <row r="162" ht="14" customHeight="1">
      <c r="A162" s="237" t="n"/>
      <c r="B162" s="237" t="n"/>
      <c r="C162" s="237" t="n"/>
      <c r="E162" s="239" t="n"/>
      <c r="F162" s="237" t="n"/>
      <c r="G162" s="237" t="n"/>
      <c r="H162" s="237" t="n"/>
      <c r="I162" s="237" t="n"/>
      <c r="J162" s="237" t="n"/>
      <c r="K162" s="237" t="n"/>
      <c r="L162" s="237" t="n"/>
      <c r="M162" s="237" t="n"/>
      <c r="N162" s="237" t="n"/>
      <c r="O162" s="237" t="n"/>
      <c r="P162" s="237" t="n"/>
      <c r="Q162" s="237" t="n"/>
      <c r="R162" s="237" t="n"/>
      <c r="S162" s="237" t="n"/>
      <c r="T162" s="237" t="n"/>
      <c r="U162" s="237" t="n"/>
      <c r="V162" s="237" t="n"/>
      <c r="W162" s="237" t="n"/>
      <c r="X162" s="237" t="n"/>
      <c r="Y162" s="237" t="n"/>
      <c r="Z162" s="240" t="n"/>
      <c r="AA162" s="237" t="n"/>
      <c r="AB162" s="245" t="n"/>
      <c r="AC162" s="237" t="n"/>
      <c r="AD162" s="237" t="n"/>
      <c r="AE162" s="237" t="n"/>
      <c r="AF162" s="237" t="n"/>
      <c r="AG162" s="237" t="n"/>
      <c r="AH162" s="237" t="n"/>
      <c r="AI162" s="237" t="n"/>
      <c r="AJ162" s="237" t="n"/>
      <c r="AK162" s="237" t="n"/>
      <c r="AL162" s="237" t="n"/>
      <c r="AM162" s="237" t="n"/>
      <c r="AN162" s="237" t="n"/>
      <c r="AO162" s="237" t="n"/>
      <c r="AP162" s="237" t="n"/>
      <c r="AQ162" s="237" t="n"/>
      <c r="AR162" s="237" t="n"/>
      <c r="AS162" s="237" t="n"/>
      <c r="AT162" s="237" t="n"/>
      <c r="AU162" s="237" t="n"/>
      <c r="AV162" s="237" t="n"/>
      <c r="AW162" s="237" t="n"/>
      <c r="AX162" s="237" t="n"/>
      <c r="AY162" s="237" t="n"/>
      <c r="AZ162" s="237" t="n"/>
      <c r="BA162" s="237" t="n"/>
      <c r="BB162" s="237" t="n"/>
      <c r="BC162" s="237" t="n"/>
      <c r="BD162" s="237" t="n"/>
      <c r="BE162" s="237" t="n"/>
      <c r="BF162" s="237" t="n"/>
      <c r="BG162" s="237" t="n"/>
      <c r="BH162" s="237" t="n"/>
      <c r="BI162" s="237" t="n"/>
      <c r="BJ162" s="237" t="n"/>
      <c r="BK162" s="237" t="n"/>
      <c r="BL162" s="237" t="n"/>
      <c r="BM162" s="237" t="n"/>
      <c r="BN162" s="237" t="n"/>
      <c r="BO162" s="237" t="n"/>
      <c r="BP162" s="237" t="n"/>
      <c r="BQ162" s="237" t="n"/>
      <c r="BR162" s="237" t="n"/>
      <c r="BS162" s="237" t="n"/>
      <c r="BT162" s="237" t="n"/>
      <c r="BU162" s="237" t="n"/>
      <c r="BV162" s="237" t="n"/>
      <c r="BW162" s="237" t="n"/>
      <c r="BX162" s="237" t="n"/>
      <c r="BY162" s="237" t="n"/>
      <c r="BZ162" s="237" t="n"/>
      <c r="CA162" s="237" t="n"/>
      <c r="CB162" s="237" t="n"/>
      <c r="CC162" s="237" t="n"/>
      <c r="CD162" s="237" t="n"/>
      <c r="CE162" s="237" t="n"/>
      <c r="CF162" s="237" t="n"/>
      <c r="CG162" s="237" t="n"/>
      <c r="CH162" s="237" t="n"/>
      <c r="CI162" s="237" t="n"/>
    </row>
    <row r="163" ht="14" customHeight="1">
      <c r="A163" s="237" t="n"/>
      <c r="B163" s="237" t="n"/>
      <c r="C163" s="237" t="n"/>
      <c r="E163" s="239" t="n"/>
      <c r="F163" s="237" t="n"/>
      <c r="G163" s="237" t="n"/>
      <c r="H163" s="237" t="n"/>
      <c r="I163" s="237" t="n"/>
      <c r="J163" s="237" t="n"/>
      <c r="K163" s="237" t="n"/>
      <c r="L163" s="237" t="n"/>
      <c r="M163" s="237" t="n"/>
      <c r="N163" s="237" t="n"/>
      <c r="O163" s="237" t="n"/>
      <c r="P163" s="237" t="n"/>
      <c r="Q163" s="237" t="n"/>
      <c r="R163" s="237" t="n"/>
      <c r="S163" s="237" t="n"/>
      <c r="T163" s="237" t="n"/>
      <c r="U163" s="237" t="n"/>
      <c r="V163" s="237" t="n"/>
      <c r="W163" s="237" t="n"/>
      <c r="X163" s="237" t="n"/>
      <c r="Y163" s="237" t="n"/>
      <c r="Z163" s="240" t="n"/>
      <c r="AA163" s="237" t="n"/>
      <c r="AB163" s="245" t="n"/>
      <c r="AC163" s="237" t="n"/>
      <c r="AD163" s="237" t="n"/>
      <c r="AE163" s="237" t="n"/>
      <c r="AF163" s="237" t="n"/>
      <c r="AG163" s="237" t="n"/>
      <c r="AH163" s="237" t="n"/>
      <c r="AI163" s="237" t="n"/>
      <c r="AJ163" s="237" t="n"/>
      <c r="AK163" s="237" t="n"/>
      <c r="AL163" s="237" t="n"/>
      <c r="AM163" s="237" t="n"/>
      <c r="AN163" s="237" t="n"/>
      <c r="AO163" s="237" t="n"/>
      <c r="AP163" s="237" t="n"/>
      <c r="AQ163" s="237" t="n"/>
      <c r="AR163" s="237" t="n"/>
      <c r="AS163" s="237" t="n"/>
      <c r="AT163" s="237" t="n"/>
      <c r="AU163" s="237" t="n"/>
      <c r="AV163" s="237" t="n"/>
      <c r="AW163" s="237" t="n"/>
      <c r="AX163" s="237" t="n"/>
      <c r="AY163" s="237" t="n"/>
      <c r="AZ163" s="237" t="n"/>
      <c r="BA163" s="237" t="n"/>
      <c r="BB163" s="237" t="n"/>
      <c r="BC163" s="237" t="n"/>
      <c r="BD163" s="237" t="n"/>
      <c r="BE163" s="237" t="n"/>
      <c r="BF163" s="237" t="n"/>
      <c r="BG163" s="237" t="n"/>
      <c r="BH163" s="237" t="n"/>
      <c r="BI163" s="237" t="n"/>
      <c r="BJ163" s="237" t="n"/>
      <c r="BK163" s="237" t="n"/>
      <c r="BL163" s="237" t="n"/>
      <c r="BM163" s="237" t="n"/>
      <c r="BN163" s="237" t="n"/>
      <c r="BO163" s="237" t="n"/>
      <c r="BP163" s="237" t="n"/>
      <c r="BQ163" s="237" t="n"/>
      <c r="BR163" s="237" t="n"/>
      <c r="BS163" s="237" t="n"/>
      <c r="BT163" s="237" t="n"/>
      <c r="BU163" s="237" t="n"/>
      <c r="BV163" s="237" t="n"/>
      <c r="BW163" s="237" t="n"/>
      <c r="BX163" s="237" t="n"/>
      <c r="BY163" s="237" t="n"/>
      <c r="BZ163" s="237" t="n"/>
      <c r="CA163" s="237" t="n"/>
      <c r="CB163" s="237" t="n"/>
      <c r="CC163" s="237" t="n"/>
      <c r="CD163" s="237" t="n"/>
      <c r="CE163" s="237" t="n"/>
      <c r="CF163" s="237" t="n"/>
      <c r="CG163" s="237" t="n"/>
      <c r="CH163" s="237" t="n"/>
      <c r="CI163" s="237" t="n"/>
    </row>
    <row r="164" ht="14" customHeight="1">
      <c r="A164" s="237" t="n"/>
      <c r="B164" s="237" t="n"/>
      <c r="C164" s="237" t="n"/>
      <c r="E164" s="239" t="n"/>
      <c r="F164" s="237" t="n"/>
      <c r="G164" s="237" t="n"/>
      <c r="H164" s="237" t="n"/>
      <c r="I164" s="237" t="n"/>
      <c r="J164" s="237" t="n"/>
      <c r="K164" s="237" t="n"/>
      <c r="L164" s="237" t="n"/>
      <c r="M164" s="237" t="n"/>
      <c r="N164" s="237" t="n"/>
      <c r="O164" s="237" t="n"/>
      <c r="P164" s="237" t="n"/>
      <c r="Q164" s="237" t="n"/>
      <c r="R164" s="237" t="n"/>
      <c r="S164" s="237" t="n"/>
      <c r="T164" s="237" t="n"/>
      <c r="U164" s="237" t="n"/>
      <c r="V164" s="237" t="n"/>
      <c r="W164" s="237" t="n"/>
      <c r="X164" s="237" t="n"/>
      <c r="Y164" s="237" t="n"/>
      <c r="Z164" s="240" t="n"/>
      <c r="AA164" s="237" t="n"/>
      <c r="AB164" s="245" t="n"/>
      <c r="AC164" s="237" t="n"/>
      <c r="AD164" s="237" t="n"/>
      <c r="AE164" s="237" t="n"/>
      <c r="AF164" s="237" t="n"/>
      <c r="AG164" s="237" t="n"/>
      <c r="AH164" s="237" t="n"/>
      <c r="AI164" s="237" t="n"/>
      <c r="AJ164" s="237" t="n"/>
      <c r="AK164" s="237" t="n"/>
      <c r="AL164" s="237" t="n"/>
      <c r="AM164" s="237" t="n"/>
      <c r="AN164" s="237" t="n"/>
      <c r="AO164" s="237" t="n"/>
      <c r="AP164" s="237" t="n"/>
      <c r="AQ164" s="237" t="n"/>
      <c r="AR164" s="237" t="n"/>
      <c r="AS164" s="237" t="n"/>
      <c r="AT164" s="237" t="n"/>
      <c r="AU164" s="237" t="n"/>
      <c r="AV164" s="237" t="n"/>
      <c r="AW164" s="237" t="n"/>
      <c r="AX164" s="237" t="n"/>
      <c r="AY164" s="237" t="n"/>
      <c r="AZ164" s="237" t="n"/>
      <c r="BA164" s="237" t="n"/>
      <c r="BB164" s="237" t="n"/>
      <c r="BC164" s="237" t="n"/>
      <c r="BD164" s="237" t="n"/>
      <c r="BE164" s="237" t="n"/>
      <c r="BF164" s="237" t="n"/>
      <c r="BG164" s="237" t="n"/>
      <c r="BH164" s="237" t="n"/>
      <c r="BI164" s="237" t="n"/>
      <c r="BJ164" s="237" t="n"/>
      <c r="BK164" s="237" t="n"/>
      <c r="BL164" s="237" t="n"/>
      <c r="BM164" s="237" t="n"/>
      <c r="BN164" s="237" t="n"/>
      <c r="BO164" s="237" t="n"/>
      <c r="BP164" s="237" t="n"/>
      <c r="BQ164" s="237" t="n"/>
      <c r="BR164" s="237" t="n"/>
      <c r="BS164" s="237" t="n"/>
      <c r="BT164" s="237" t="n"/>
      <c r="BU164" s="237" t="n"/>
      <c r="BV164" s="237" t="n"/>
      <c r="BW164" s="237" t="n"/>
      <c r="BX164" s="237" t="n"/>
      <c r="BY164" s="237" t="n"/>
      <c r="BZ164" s="237" t="n"/>
      <c r="CA164" s="237" t="n"/>
      <c r="CB164" s="237" t="n"/>
      <c r="CC164" s="237" t="n"/>
      <c r="CD164" s="237" t="n"/>
      <c r="CE164" s="237" t="n"/>
      <c r="CF164" s="237" t="n"/>
      <c r="CG164" s="237" t="n"/>
      <c r="CH164" s="237" t="n"/>
      <c r="CI164" s="237" t="n"/>
    </row>
    <row r="165" ht="14" customHeight="1">
      <c r="A165" s="237" t="n"/>
      <c r="B165" s="237" t="n"/>
      <c r="C165" s="237" t="n"/>
      <c r="E165" s="239" t="n"/>
      <c r="F165" s="237" t="n"/>
      <c r="G165" s="237" t="n"/>
      <c r="H165" s="237" t="n"/>
      <c r="I165" s="237" t="n"/>
      <c r="J165" s="237" t="n"/>
      <c r="K165" s="237" t="n"/>
      <c r="L165" s="237" t="n"/>
      <c r="M165" s="237" t="n"/>
      <c r="N165" s="237" t="n"/>
      <c r="O165" s="237" t="n"/>
      <c r="P165" s="237" t="n"/>
      <c r="Q165" s="237" t="n"/>
      <c r="R165" s="237" t="n"/>
      <c r="S165" s="237" t="n"/>
      <c r="T165" s="237" t="n"/>
      <c r="U165" s="237" t="n"/>
      <c r="V165" s="237" t="n"/>
      <c r="W165" s="237" t="n"/>
      <c r="X165" s="237" t="n"/>
      <c r="Y165" s="237" t="n"/>
      <c r="Z165" s="240" t="n"/>
      <c r="AA165" s="237" t="n"/>
      <c r="AB165" s="245" t="n"/>
      <c r="AC165" s="237" t="n"/>
      <c r="AD165" s="237" t="n"/>
      <c r="AE165" s="237" t="n"/>
      <c r="AF165" s="237" t="n"/>
      <c r="AG165" s="237" t="n"/>
      <c r="AH165" s="237" t="n"/>
      <c r="AI165" s="237" t="n"/>
      <c r="AJ165" s="237" t="n"/>
      <c r="AK165" s="237" t="n"/>
      <c r="AL165" s="237" t="n"/>
      <c r="AM165" s="237" t="n"/>
      <c r="AN165" s="237" t="n"/>
      <c r="AO165" s="237" t="n"/>
      <c r="AP165" s="237" t="n"/>
      <c r="AQ165" s="237" t="n"/>
      <c r="AR165" s="237" t="n"/>
      <c r="AS165" s="237" t="n"/>
      <c r="AT165" s="237" t="n"/>
      <c r="AU165" s="237" t="n"/>
      <c r="AV165" s="237" t="n"/>
      <c r="AW165" s="237" t="n"/>
      <c r="AX165" s="237" t="n"/>
      <c r="AY165" s="237" t="n"/>
      <c r="AZ165" s="237" t="n"/>
      <c r="BA165" s="237" t="n"/>
      <c r="BB165" s="237" t="n"/>
      <c r="BC165" s="237" t="n"/>
      <c r="BD165" s="237" t="n"/>
      <c r="BE165" s="237" t="n"/>
      <c r="BF165" s="237" t="n"/>
      <c r="BG165" s="237" t="n"/>
      <c r="BH165" s="237" t="n"/>
      <c r="BI165" s="237" t="n"/>
      <c r="BJ165" s="237" t="n"/>
      <c r="BK165" s="237" t="n"/>
      <c r="BL165" s="237" t="n"/>
      <c r="BM165" s="237" t="n"/>
      <c r="BN165" s="237" t="n"/>
      <c r="BO165" s="237" t="n"/>
      <c r="BP165" s="237" t="n"/>
      <c r="BQ165" s="237" t="n"/>
      <c r="BR165" s="237" t="n"/>
      <c r="BS165" s="237" t="n"/>
      <c r="BT165" s="237" t="n"/>
      <c r="BU165" s="237" t="n"/>
      <c r="BV165" s="237" t="n"/>
      <c r="BW165" s="237" t="n"/>
      <c r="BX165" s="237" t="n"/>
      <c r="BY165" s="237" t="n"/>
      <c r="BZ165" s="237" t="n"/>
      <c r="CA165" s="237" t="n"/>
      <c r="CB165" s="237" t="n"/>
      <c r="CC165" s="237" t="n"/>
      <c r="CD165" s="237" t="n"/>
      <c r="CE165" s="237" t="n"/>
      <c r="CF165" s="237" t="n"/>
      <c r="CG165" s="237" t="n"/>
      <c r="CH165" s="237" t="n"/>
      <c r="CI165" s="237" t="n"/>
    </row>
    <row r="166" ht="14" customHeight="1">
      <c r="A166" s="237" t="n"/>
      <c r="B166" s="237" t="n"/>
      <c r="C166" s="237" t="n"/>
      <c r="E166" s="239" t="n"/>
      <c r="F166" s="237" t="n"/>
      <c r="G166" s="237" t="n"/>
      <c r="H166" s="237" t="n"/>
      <c r="I166" s="237" t="n"/>
      <c r="J166" s="237" t="n"/>
      <c r="K166" s="237" t="n"/>
      <c r="L166" s="237" t="n"/>
      <c r="M166" s="237" t="n"/>
      <c r="N166" s="237" t="n"/>
      <c r="O166" s="237" t="n"/>
      <c r="P166" s="237" t="n"/>
      <c r="Q166" s="237" t="n"/>
      <c r="R166" s="237" t="n"/>
      <c r="S166" s="237" t="n"/>
      <c r="T166" s="237" t="n"/>
      <c r="U166" s="237" t="n"/>
      <c r="V166" s="237" t="n"/>
      <c r="W166" s="237" t="n"/>
      <c r="X166" s="237" t="n"/>
      <c r="Y166" s="237" t="n"/>
      <c r="Z166" s="240" t="n"/>
      <c r="AA166" s="237" t="n"/>
      <c r="AB166" s="245" t="n"/>
      <c r="AC166" s="237" t="n"/>
      <c r="AD166" s="237" t="n"/>
      <c r="AE166" s="237" t="n"/>
      <c r="AF166" s="237" t="n"/>
      <c r="AG166" s="237" t="n"/>
      <c r="AH166" s="237" t="n"/>
      <c r="AI166" s="237" t="n"/>
      <c r="AJ166" s="237" t="n"/>
      <c r="AK166" s="237" t="n"/>
      <c r="AL166" s="237" t="n"/>
      <c r="AM166" s="237" t="n"/>
      <c r="AN166" s="237" t="n"/>
      <c r="AO166" s="237" t="n"/>
      <c r="AP166" s="237" t="n"/>
      <c r="AQ166" s="237" t="n"/>
      <c r="AR166" s="237" t="n"/>
      <c r="AS166" s="237" t="n"/>
      <c r="AT166" s="237" t="n"/>
      <c r="AU166" s="237" t="n"/>
      <c r="AV166" s="237" t="n"/>
      <c r="AW166" s="237" t="n"/>
      <c r="AX166" s="237" t="n"/>
      <c r="AY166" s="237" t="n"/>
      <c r="AZ166" s="237" t="n"/>
      <c r="BA166" s="237" t="n"/>
      <c r="BB166" s="237" t="n"/>
      <c r="BC166" s="237" t="n"/>
      <c r="BD166" s="237" t="n"/>
      <c r="BE166" s="237" t="n"/>
      <c r="BF166" s="237" t="n"/>
      <c r="BG166" s="237" t="n"/>
      <c r="BH166" s="237" t="n"/>
      <c r="BI166" s="237" t="n"/>
      <c r="BJ166" s="237" t="n"/>
      <c r="BK166" s="237" t="n"/>
      <c r="BL166" s="237" t="n"/>
      <c r="BM166" s="237" t="n"/>
      <c r="BN166" s="237" t="n"/>
      <c r="BO166" s="237" t="n"/>
      <c r="BP166" s="237" t="n"/>
      <c r="BQ166" s="237" t="n"/>
      <c r="BR166" s="237" t="n"/>
      <c r="BS166" s="237" t="n"/>
      <c r="BT166" s="237" t="n"/>
      <c r="BU166" s="237" t="n"/>
      <c r="BV166" s="237" t="n"/>
      <c r="BW166" s="237" t="n"/>
      <c r="BX166" s="237" t="n"/>
      <c r="BY166" s="237" t="n"/>
      <c r="BZ166" s="237" t="n"/>
      <c r="CA166" s="237" t="n"/>
      <c r="CB166" s="237" t="n"/>
      <c r="CC166" s="237" t="n"/>
      <c r="CD166" s="237" t="n"/>
      <c r="CE166" s="237" t="n"/>
      <c r="CF166" s="237" t="n"/>
      <c r="CG166" s="237" t="n"/>
      <c r="CH166" s="237" t="n"/>
      <c r="CI166" s="237" t="n"/>
    </row>
    <row r="167" ht="14" customHeight="1">
      <c r="A167" s="237" t="n"/>
      <c r="B167" s="237" t="n"/>
      <c r="C167" s="237" t="n"/>
      <c r="E167" s="239" t="n"/>
      <c r="F167" s="237" t="n"/>
      <c r="G167" s="237" t="n"/>
      <c r="H167" s="237" t="n"/>
      <c r="I167" s="237" t="n"/>
      <c r="J167" s="237" t="n"/>
      <c r="K167" s="237" t="n"/>
      <c r="L167" s="237" t="n"/>
      <c r="M167" s="237" t="n"/>
      <c r="N167" s="237" t="n"/>
      <c r="O167" s="237" t="n"/>
      <c r="P167" s="237" t="n"/>
      <c r="Q167" s="237" t="n"/>
      <c r="R167" s="237" t="n"/>
      <c r="S167" s="237" t="n"/>
      <c r="T167" s="237" t="n"/>
      <c r="U167" s="237" t="n"/>
      <c r="V167" s="237" t="n"/>
      <c r="W167" s="237" t="n"/>
      <c r="X167" s="237" t="n"/>
      <c r="Y167" s="237" t="n"/>
      <c r="Z167" s="240" t="n"/>
      <c r="AA167" s="237" t="n"/>
      <c r="AB167" s="245" t="n"/>
      <c r="AC167" s="237" t="n"/>
      <c r="AD167" s="237" t="n"/>
      <c r="AE167" s="237" t="n"/>
      <c r="AF167" s="237" t="n"/>
      <c r="AG167" s="237" t="n"/>
      <c r="AH167" s="237" t="n"/>
      <c r="AI167" s="237" t="n"/>
      <c r="AJ167" s="237" t="n"/>
      <c r="AK167" s="237" t="n"/>
      <c r="AL167" s="237" t="n"/>
      <c r="AM167" s="237" t="n"/>
      <c r="AN167" s="237" t="n"/>
      <c r="AO167" s="237" t="n"/>
      <c r="AP167" s="237" t="n"/>
      <c r="AQ167" s="237" t="n"/>
      <c r="AR167" s="237" t="n"/>
      <c r="AS167" s="237" t="n"/>
      <c r="AT167" s="237" t="n"/>
      <c r="AU167" s="237" t="n"/>
      <c r="AV167" s="237" t="n"/>
      <c r="AW167" s="237" t="n"/>
      <c r="AX167" s="237" t="n"/>
      <c r="AY167" s="237" t="n"/>
      <c r="AZ167" s="237" t="n"/>
      <c r="BA167" s="237" t="n"/>
      <c r="BB167" s="237" t="n"/>
      <c r="BC167" s="237" t="n"/>
      <c r="BD167" s="237" t="n"/>
      <c r="BE167" s="237" t="n"/>
      <c r="BF167" s="237" t="n"/>
      <c r="BG167" s="237" t="n"/>
      <c r="BH167" s="237" t="n"/>
      <c r="BI167" s="237" t="n"/>
      <c r="BJ167" s="237" t="n"/>
      <c r="BK167" s="237" t="n"/>
      <c r="BL167" s="237" t="n"/>
      <c r="BM167" s="237" t="n"/>
      <c r="BN167" s="237" t="n"/>
      <c r="BO167" s="237" t="n"/>
      <c r="BP167" s="237" t="n"/>
      <c r="BQ167" s="237" t="n"/>
      <c r="BR167" s="237" t="n"/>
      <c r="BS167" s="237" t="n"/>
      <c r="BT167" s="237" t="n"/>
      <c r="BU167" s="237" t="n"/>
      <c r="BV167" s="237" t="n"/>
      <c r="BW167" s="237" t="n"/>
      <c r="BX167" s="237" t="n"/>
      <c r="BY167" s="237" t="n"/>
      <c r="BZ167" s="237" t="n"/>
      <c r="CA167" s="237" t="n"/>
      <c r="CB167" s="237" t="n"/>
      <c r="CC167" s="237" t="n"/>
      <c r="CD167" s="237" t="n"/>
      <c r="CE167" s="237" t="n"/>
      <c r="CF167" s="237" t="n"/>
      <c r="CG167" s="237" t="n"/>
      <c r="CH167" s="237" t="n"/>
      <c r="CI167" s="237" t="n"/>
    </row>
    <row r="168" ht="14" customHeight="1">
      <c r="A168" s="237" t="n"/>
      <c r="B168" s="237" t="n"/>
      <c r="C168" s="237" t="n"/>
      <c r="E168" s="239" t="n"/>
      <c r="F168" s="237" t="n"/>
      <c r="G168" s="237" t="n"/>
      <c r="H168" s="237" t="n"/>
      <c r="I168" s="237" t="n"/>
      <c r="J168" s="237" t="n"/>
      <c r="K168" s="237" t="n"/>
      <c r="L168" s="237" t="n"/>
      <c r="M168" s="237" t="n"/>
      <c r="N168" s="237" t="n"/>
      <c r="O168" s="237" t="n"/>
      <c r="P168" s="237" t="n"/>
      <c r="Q168" s="237" t="n"/>
      <c r="R168" s="237" t="n"/>
      <c r="S168" s="237" t="n"/>
      <c r="T168" s="237" t="n"/>
      <c r="U168" s="237" t="n"/>
      <c r="V168" s="237" t="n"/>
      <c r="W168" s="237" t="n"/>
      <c r="X168" s="237" t="n"/>
      <c r="Y168" s="237" t="n"/>
      <c r="Z168" s="240" t="n"/>
      <c r="AA168" s="237" t="n"/>
      <c r="AB168" s="245" t="n"/>
      <c r="AC168" s="237" t="n"/>
      <c r="AD168" s="237" t="n"/>
      <c r="AE168" s="237" t="n"/>
      <c r="AF168" s="237" t="n"/>
      <c r="AG168" s="237" t="n"/>
      <c r="AH168" s="237" t="n"/>
      <c r="AI168" s="237" t="n"/>
      <c r="AJ168" s="237" t="n"/>
      <c r="AK168" s="237" t="n"/>
      <c r="AL168" s="237" t="n"/>
      <c r="AM168" s="237" t="n"/>
      <c r="AN168" s="237" t="n"/>
      <c r="AO168" s="237" t="n"/>
      <c r="AP168" s="237" t="n"/>
      <c r="AQ168" s="237" t="n"/>
      <c r="AR168" s="237" t="n"/>
      <c r="AS168" s="237" t="n"/>
      <c r="AT168" s="237" t="n"/>
      <c r="AU168" s="237" t="n"/>
      <c r="AV168" s="237" t="n"/>
      <c r="AW168" s="237" t="n"/>
      <c r="AX168" s="237" t="n"/>
      <c r="AY168" s="237" t="n"/>
      <c r="AZ168" s="237" t="n"/>
      <c r="BA168" s="237" t="n"/>
      <c r="BB168" s="237" t="n"/>
      <c r="BC168" s="237" t="n"/>
      <c r="BD168" s="237" t="n"/>
      <c r="BE168" s="237" t="n"/>
      <c r="BF168" s="237" t="n"/>
      <c r="BG168" s="237" t="n"/>
      <c r="BH168" s="237" t="n"/>
      <c r="BI168" s="237" t="n"/>
      <c r="BJ168" s="237" t="n"/>
      <c r="BK168" s="237" t="n"/>
      <c r="BL168" s="237" t="n"/>
      <c r="BM168" s="237" t="n"/>
      <c r="BN168" s="237" t="n"/>
      <c r="BO168" s="237" t="n"/>
      <c r="BP168" s="237" t="n"/>
      <c r="BQ168" s="237" t="n"/>
      <c r="BR168" s="237" t="n"/>
      <c r="BS168" s="237" t="n"/>
      <c r="BT168" s="237" t="n"/>
      <c r="BU168" s="237" t="n"/>
      <c r="BV168" s="237" t="n"/>
      <c r="BW168" s="237" t="n"/>
      <c r="BX168" s="237" t="n"/>
      <c r="BY168" s="237" t="n"/>
      <c r="BZ168" s="237" t="n"/>
      <c r="CA168" s="237" t="n"/>
      <c r="CB168" s="237" t="n"/>
      <c r="CC168" s="237" t="n"/>
      <c r="CD168" s="237" t="n"/>
      <c r="CE168" s="237" t="n"/>
      <c r="CF168" s="237" t="n"/>
      <c r="CG168" s="237" t="n"/>
      <c r="CH168" s="237" t="n"/>
      <c r="CI168" s="237" t="n"/>
    </row>
    <row r="169" ht="14" customHeight="1">
      <c r="A169" s="237" t="n"/>
      <c r="B169" s="237" t="n"/>
      <c r="C169" s="237" t="n"/>
      <c r="E169" s="239" t="n"/>
      <c r="F169" s="237" t="n"/>
      <c r="G169" s="237" t="n"/>
      <c r="H169" s="237" t="n"/>
      <c r="I169" s="237" t="n"/>
      <c r="J169" s="237" t="n"/>
      <c r="K169" s="237" t="n"/>
      <c r="L169" s="237" t="n"/>
      <c r="M169" s="237" t="n"/>
      <c r="N169" s="237" t="n"/>
      <c r="O169" s="237" t="n"/>
      <c r="P169" s="237" t="n"/>
      <c r="Q169" s="237" t="n"/>
      <c r="R169" s="237" t="n"/>
      <c r="S169" s="237" t="n"/>
      <c r="T169" s="237" t="n"/>
      <c r="U169" s="237" t="n"/>
      <c r="V169" s="237" t="n"/>
      <c r="W169" s="237" t="n"/>
      <c r="X169" s="237" t="n"/>
      <c r="Y169" s="237" t="n"/>
      <c r="Z169" s="240" t="n"/>
      <c r="AA169" s="237" t="n"/>
      <c r="AB169" s="245" t="n"/>
      <c r="AC169" s="237" t="n"/>
      <c r="AD169" s="237" t="n"/>
      <c r="AE169" s="237" t="n"/>
      <c r="AF169" s="237" t="n"/>
      <c r="AG169" s="237" t="n"/>
      <c r="AH169" s="237" t="n"/>
      <c r="AI169" s="237" t="n"/>
      <c r="AJ169" s="237" t="n"/>
      <c r="AK169" s="237" t="n"/>
      <c r="AL169" s="237" t="n"/>
      <c r="AM169" s="237" t="n"/>
      <c r="AN169" s="237" t="n"/>
      <c r="AO169" s="237" t="n"/>
      <c r="AP169" s="237" t="n"/>
      <c r="AQ169" s="237" t="n"/>
      <c r="AR169" s="237" t="n"/>
      <c r="AS169" s="237" t="n"/>
      <c r="AT169" s="237" t="n"/>
      <c r="AU169" s="237" t="n"/>
      <c r="AV169" s="237" t="n"/>
      <c r="AW169" s="237" t="n"/>
      <c r="AX169" s="237" t="n"/>
      <c r="AY169" s="237" t="n"/>
      <c r="AZ169" s="237" t="n"/>
      <c r="BA169" s="237" t="n"/>
      <c r="BB169" s="237" t="n"/>
      <c r="BC169" s="237" t="n"/>
      <c r="BD169" s="237" t="n"/>
      <c r="BE169" s="237" t="n"/>
      <c r="BF169" s="237" t="n"/>
      <c r="BG169" s="237" t="n"/>
      <c r="BH169" s="237" t="n"/>
      <c r="BI169" s="237" t="n"/>
      <c r="BJ169" s="237" t="n"/>
      <c r="BK169" s="237" t="n"/>
      <c r="BL169" s="237" t="n"/>
      <c r="BM169" s="237" t="n"/>
      <c r="BN169" s="237" t="n"/>
      <c r="BO169" s="237" t="n"/>
      <c r="BP169" s="237" t="n"/>
      <c r="BQ169" s="237" t="n"/>
      <c r="BR169" s="237" t="n"/>
      <c r="BS169" s="237" t="n"/>
      <c r="BT169" s="237" t="n"/>
      <c r="BU169" s="237" t="n"/>
      <c r="BV169" s="237" t="n"/>
      <c r="BW169" s="237" t="n"/>
      <c r="BX169" s="237" t="n"/>
      <c r="BY169" s="237" t="n"/>
      <c r="BZ169" s="237" t="n"/>
      <c r="CA169" s="237" t="n"/>
      <c r="CB169" s="237" t="n"/>
      <c r="CC169" s="237" t="n"/>
      <c r="CD169" s="237" t="n"/>
      <c r="CE169" s="237" t="n"/>
      <c r="CF169" s="237" t="n"/>
      <c r="CG169" s="237" t="n"/>
      <c r="CH169" s="237" t="n"/>
      <c r="CI169" s="237" t="n"/>
    </row>
    <row r="170" ht="14" customHeight="1">
      <c r="A170" s="237" t="n"/>
      <c r="B170" s="237" t="n"/>
      <c r="C170" s="237" t="n"/>
      <c r="E170" s="239" t="n"/>
      <c r="F170" s="237" t="n"/>
      <c r="G170" s="237" t="n"/>
      <c r="H170" s="237" t="n"/>
      <c r="I170" s="237" t="n"/>
      <c r="J170" s="237" t="n"/>
      <c r="K170" s="237" t="n"/>
      <c r="L170" s="237" t="n"/>
      <c r="M170" s="237" t="n"/>
      <c r="N170" s="237" t="n"/>
      <c r="O170" s="237" t="n"/>
      <c r="P170" s="237" t="n"/>
      <c r="Q170" s="237" t="n"/>
      <c r="R170" s="237" t="n"/>
      <c r="S170" s="237" t="n"/>
      <c r="T170" s="237" t="n"/>
      <c r="U170" s="237" t="n"/>
      <c r="V170" s="237" t="n"/>
      <c r="W170" s="237" t="n"/>
      <c r="X170" s="237" t="n"/>
      <c r="Y170" s="237" t="n"/>
      <c r="Z170" s="240" t="n"/>
      <c r="AA170" s="237" t="n"/>
      <c r="AB170" s="245" t="n"/>
      <c r="AC170" s="237" t="n"/>
      <c r="AD170" s="237" t="n"/>
      <c r="AE170" s="237" t="n"/>
      <c r="AF170" s="237" t="n"/>
      <c r="AG170" s="237" t="n"/>
      <c r="AH170" s="237" t="n"/>
      <c r="AI170" s="237" t="n"/>
      <c r="AJ170" s="237" t="n"/>
      <c r="AK170" s="237" t="n"/>
      <c r="AL170" s="237" t="n"/>
      <c r="AM170" s="237" t="n"/>
      <c r="AN170" s="237" t="n"/>
      <c r="AO170" s="237" t="n"/>
      <c r="AP170" s="237" t="n"/>
      <c r="AQ170" s="237" t="n"/>
      <c r="AR170" s="237" t="n"/>
      <c r="AS170" s="237" t="n"/>
      <c r="AT170" s="237" t="n"/>
      <c r="AU170" s="237" t="n"/>
      <c r="AV170" s="237" t="n"/>
      <c r="AW170" s="237" t="n"/>
      <c r="AX170" s="237" t="n"/>
      <c r="AY170" s="237" t="n"/>
      <c r="AZ170" s="237" t="n"/>
      <c r="BA170" s="237" t="n"/>
      <c r="BB170" s="237" t="n"/>
      <c r="BC170" s="237" t="n"/>
      <c r="BD170" s="237" t="n"/>
      <c r="BE170" s="237" t="n"/>
      <c r="BF170" s="237" t="n"/>
      <c r="BG170" s="237" t="n"/>
      <c r="BH170" s="237" t="n"/>
      <c r="BI170" s="237" t="n"/>
      <c r="BJ170" s="237" t="n"/>
      <c r="BK170" s="237" t="n"/>
      <c r="BL170" s="237" t="n"/>
      <c r="BM170" s="237" t="n"/>
      <c r="BN170" s="237" t="n"/>
      <c r="BO170" s="237" t="n"/>
      <c r="BP170" s="237" t="n"/>
      <c r="BQ170" s="237" t="n"/>
      <c r="BR170" s="237" t="n"/>
      <c r="BS170" s="237" t="n"/>
      <c r="BT170" s="237" t="n"/>
      <c r="BU170" s="237" t="n"/>
      <c r="BV170" s="237" t="n"/>
      <c r="BW170" s="237" t="n"/>
      <c r="BX170" s="237" t="n"/>
      <c r="BY170" s="237" t="n"/>
      <c r="BZ170" s="237" t="n"/>
      <c r="CA170" s="237" t="n"/>
      <c r="CB170" s="237" t="n"/>
      <c r="CC170" s="237" t="n"/>
      <c r="CD170" s="237" t="n"/>
      <c r="CE170" s="237" t="n"/>
      <c r="CF170" s="237" t="n"/>
      <c r="CG170" s="237" t="n"/>
      <c r="CH170" s="237" t="n"/>
      <c r="CI170" s="237" t="n"/>
    </row>
    <row r="171" ht="14" customHeight="1">
      <c r="A171" s="237" t="n"/>
      <c r="B171" s="237" t="n"/>
      <c r="C171" s="237" t="n"/>
      <c r="E171" s="239" t="n"/>
      <c r="F171" s="237" t="n"/>
      <c r="G171" s="237" t="n"/>
      <c r="H171" s="237" t="n"/>
      <c r="I171" s="237" t="n"/>
      <c r="J171" s="237" t="n"/>
      <c r="K171" s="237" t="n"/>
      <c r="L171" s="237" t="n"/>
      <c r="M171" s="237" t="n"/>
      <c r="N171" s="237" t="n"/>
      <c r="O171" s="237" t="n"/>
      <c r="P171" s="237" t="n"/>
      <c r="Q171" s="237" t="n"/>
      <c r="R171" s="237" t="n"/>
      <c r="S171" s="237" t="n"/>
      <c r="T171" s="237" t="n"/>
      <c r="U171" s="237" t="n"/>
      <c r="V171" s="237" t="n"/>
      <c r="W171" s="237" t="n"/>
      <c r="X171" s="237" t="n"/>
      <c r="Y171" s="237" t="n"/>
      <c r="Z171" s="240" t="n"/>
      <c r="AA171" s="237" t="n"/>
      <c r="AB171" s="245" t="n"/>
      <c r="AC171" s="237" t="n"/>
      <c r="AD171" s="237" t="n"/>
      <c r="AE171" s="237" t="n"/>
      <c r="AF171" s="237" t="n"/>
      <c r="AG171" s="237" t="n"/>
      <c r="AH171" s="237" t="n"/>
      <c r="AI171" s="237" t="n"/>
      <c r="AJ171" s="237" t="n"/>
      <c r="AK171" s="237" t="n"/>
      <c r="AL171" s="237" t="n"/>
      <c r="AM171" s="237" t="n"/>
      <c r="AN171" s="237" t="n"/>
      <c r="AO171" s="237" t="n"/>
      <c r="AP171" s="237" t="n"/>
      <c r="AQ171" s="237" t="n"/>
      <c r="AR171" s="237" t="n"/>
      <c r="AS171" s="237" t="n"/>
      <c r="AT171" s="237" t="n"/>
      <c r="AU171" s="237" t="n"/>
      <c r="AV171" s="237" t="n"/>
      <c r="AW171" s="237" t="n"/>
      <c r="AX171" s="237" t="n"/>
      <c r="AY171" s="237" t="n"/>
      <c r="AZ171" s="237" t="n"/>
      <c r="BA171" s="237" t="n"/>
      <c r="BB171" s="237" t="n"/>
      <c r="BC171" s="237" t="n"/>
      <c r="BD171" s="237" t="n"/>
      <c r="BE171" s="237" t="n"/>
      <c r="BF171" s="237" t="n"/>
      <c r="BG171" s="237" t="n"/>
      <c r="BH171" s="237" t="n"/>
      <c r="BI171" s="237" t="n"/>
      <c r="BJ171" s="237" t="n"/>
      <c r="BK171" s="237" t="n"/>
      <c r="BL171" s="237" t="n"/>
      <c r="BM171" s="237" t="n"/>
      <c r="BN171" s="237" t="n"/>
      <c r="BO171" s="237" t="n"/>
      <c r="BP171" s="237" t="n"/>
      <c r="BQ171" s="237" t="n"/>
      <c r="BR171" s="237" t="n"/>
      <c r="BS171" s="237" t="n"/>
      <c r="BT171" s="237" t="n"/>
      <c r="BU171" s="237" t="n"/>
      <c r="BV171" s="237" t="n"/>
      <c r="BW171" s="237" t="n"/>
      <c r="BX171" s="237" t="n"/>
      <c r="BY171" s="237" t="n"/>
      <c r="BZ171" s="237" t="n"/>
      <c r="CA171" s="237" t="n"/>
      <c r="CB171" s="237" t="n"/>
      <c r="CC171" s="237" t="n"/>
      <c r="CD171" s="237" t="n"/>
      <c r="CE171" s="237" t="n"/>
      <c r="CF171" s="237" t="n"/>
      <c r="CG171" s="237" t="n"/>
      <c r="CH171" s="237" t="n"/>
      <c r="CI171" s="237" t="n"/>
    </row>
    <row r="172" ht="14" customHeight="1">
      <c r="A172" s="237" t="n"/>
      <c r="B172" s="237" t="n"/>
      <c r="C172" s="237" t="n"/>
      <c r="E172" s="239" t="n"/>
      <c r="F172" s="237" t="n"/>
      <c r="G172" s="237" t="n"/>
      <c r="H172" s="237" t="n"/>
      <c r="I172" s="237" t="n"/>
      <c r="J172" s="237" t="n"/>
      <c r="K172" s="237" t="n"/>
      <c r="L172" s="237" t="n"/>
      <c r="M172" s="237" t="n"/>
      <c r="N172" s="237" t="n"/>
      <c r="O172" s="237" t="n"/>
      <c r="P172" s="237" t="n"/>
      <c r="Q172" s="237" t="n"/>
      <c r="R172" s="237" t="n"/>
      <c r="S172" s="237" t="n"/>
      <c r="T172" s="237" t="n"/>
      <c r="U172" s="237" t="n"/>
      <c r="V172" s="237" t="n"/>
      <c r="W172" s="237" t="n"/>
      <c r="X172" s="237" t="n"/>
      <c r="Y172" s="237" t="n"/>
      <c r="Z172" s="240" t="n"/>
      <c r="AA172" s="237" t="n"/>
      <c r="AB172" s="245" t="n"/>
      <c r="AC172" s="237" t="n"/>
      <c r="AD172" s="237" t="n"/>
      <c r="AE172" s="237" t="n"/>
      <c r="AF172" s="237" t="n"/>
      <c r="AG172" s="237" t="n"/>
      <c r="AH172" s="237" t="n"/>
      <c r="AI172" s="237" t="n"/>
      <c r="AJ172" s="237" t="n"/>
      <c r="AK172" s="237" t="n"/>
      <c r="AL172" s="237" t="n"/>
      <c r="AM172" s="237" t="n"/>
      <c r="AN172" s="237" t="n"/>
      <c r="AO172" s="237" t="n"/>
      <c r="AP172" s="237" t="n"/>
      <c r="AQ172" s="237" t="n"/>
      <c r="AR172" s="237" t="n"/>
      <c r="AS172" s="237" t="n"/>
      <c r="AT172" s="237" t="n"/>
      <c r="AU172" s="237" t="n"/>
      <c r="AV172" s="237" t="n"/>
      <c r="AW172" s="237" t="n"/>
      <c r="AX172" s="237" t="n"/>
      <c r="AY172" s="237" t="n"/>
      <c r="AZ172" s="237" t="n"/>
      <c r="BA172" s="237" t="n"/>
      <c r="BB172" s="237" t="n"/>
      <c r="BC172" s="237" t="n"/>
      <c r="BD172" s="237" t="n"/>
      <c r="BE172" s="237" t="n"/>
      <c r="BF172" s="237" t="n"/>
      <c r="BG172" s="237" t="n"/>
      <c r="BH172" s="237" t="n"/>
      <c r="BI172" s="237" t="n"/>
      <c r="BJ172" s="237" t="n"/>
      <c r="BK172" s="237" t="n"/>
      <c r="BL172" s="237" t="n"/>
      <c r="BM172" s="237" t="n"/>
      <c r="BN172" s="237" t="n"/>
      <c r="BO172" s="237" t="n"/>
      <c r="BP172" s="237" t="n"/>
      <c r="BQ172" s="237" t="n"/>
      <c r="BR172" s="237" t="n"/>
      <c r="BS172" s="237" t="n"/>
      <c r="BT172" s="237" t="n"/>
      <c r="BU172" s="237" t="n"/>
      <c r="BV172" s="237" t="n"/>
      <c r="BW172" s="237" t="n"/>
      <c r="BX172" s="237" t="n"/>
      <c r="BY172" s="237" t="n"/>
      <c r="BZ172" s="237" t="n"/>
      <c r="CA172" s="237" t="n"/>
      <c r="CB172" s="237" t="n"/>
      <c r="CC172" s="237" t="n"/>
      <c r="CD172" s="237" t="n"/>
      <c r="CE172" s="237" t="n"/>
      <c r="CF172" s="237" t="n"/>
      <c r="CG172" s="237" t="n"/>
      <c r="CH172" s="237" t="n"/>
      <c r="CI172" s="237" t="n"/>
    </row>
    <row r="173" ht="14" customHeight="1">
      <c r="A173" s="237" t="n"/>
      <c r="B173" s="237" t="n"/>
      <c r="C173" s="237" t="n"/>
      <c r="E173" s="239" t="n"/>
      <c r="F173" s="237" t="n"/>
      <c r="G173" s="237" t="n"/>
      <c r="H173" s="237" t="n"/>
      <c r="I173" s="237" t="n"/>
      <c r="J173" s="237" t="n"/>
      <c r="K173" s="237" t="n"/>
      <c r="L173" s="237" t="n"/>
      <c r="M173" s="237" t="n"/>
      <c r="N173" s="237" t="n"/>
      <c r="O173" s="237" t="n"/>
      <c r="P173" s="237" t="n"/>
      <c r="Q173" s="237" t="n"/>
      <c r="R173" s="237" t="n"/>
      <c r="S173" s="237" t="n"/>
      <c r="T173" s="237" t="n"/>
      <c r="U173" s="237" t="n"/>
      <c r="V173" s="237" t="n"/>
      <c r="W173" s="237" t="n"/>
      <c r="X173" s="237" t="n"/>
      <c r="Y173" s="237" t="n"/>
      <c r="Z173" s="240" t="n"/>
      <c r="AA173" s="237" t="n"/>
      <c r="AB173" s="245" t="n"/>
      <c r="AC173" s="237" t="n"/>
      <c r="AD173" s="237" t="n"/>
      <c r="AE173" s="237" t="n"/>
      <c r="AF173" s="237" t="n"/>
      <c r="AG173" s="237" t="n"/>
      <c r="AH173" s="237" t="n"/>
      <c r="AI173" s="237" t="n"/>
      <c r="AJ173" s="237" t="n"/>
      <c r="AK173" s="237" t="n"/>
      <c r="AL173" s="237" t="n"/>
      <c r="AM173" s="237" t="n"/>
      <c r="AN173" s="237" t="n"/>
      <c r="AO173" s="237" t="n"/>
      <c r="AP173" s="237" t="n"/>
      <c r="AQ173" s="237" t="n"/>
      <c r="AR173" s="237" t="n"/>
      <c r="AS173" s="237" t="n"/>
      <c r="AT173" s="237" t="n"/>
      <c r="AU173" s="237" t="n"/>
      <c r="AV173" s="237" t="n"/>
      <c r="AW173" s="237" t="n"/>
      <c r="AX173" s="237" t="n"/>
      <c r="AY173" s="237" t="n"/>
      <c r="AZ173" s="237" t="n"/>
      <c r="BA173" s="237" t="n"/>
      <c r="BB173" s="237" t="n"/>
      <c r="BC173" s="237" t="n"/>
      <c r="BD173" s="237" t="n"/>
      <c r="BE173" s="237" t="n"/>
      <c r="BF173" s="237" t="n"/>
      <c r="BG173" s="237" t="n"/>
      <c r="BH173" s="237" t="n"/>
      <c r="BI173" s="237" t="n"/>
      <c r="BJ173" s="237" t="n"/>
      <c r="BK173" s="237" t="n"/>
      <c r="BL173" s="237" t="n"/>
      <c r="BM173" s="237" t="n"/>
      <c r="BN173" s="237" t="n"/>
      <c r="BO173" s="237" t="n"/>
      <c r="BP173" s="237" t="n"/>
      <c r="BQ173" s="237" t="n"/>
      <c r="BR173" s="237" t="n"/>
      <c r="BS173" s="237" t="n"/>
      <c r="BT173" s="237" t="n"/>
      <c r="BU173" s="237" t="n"/>
      <c r="BV173" s="237" t="n"/>
      <c r="BW173" s="237" t="n"/>
      <c r="BX173" s="237" t="n"/>
      <c r="BY173" s="237" t="n"/>
      <c r="BZ173" s="237" t="n"/>
      <c r="CA173" s="237" t="n"/>
      <c r="CB173" s="237" t="n"/>
      <c r="CC173" s="237" t="n"/>
      <c r="CD173" s="237" t="n"/>
      <c r="CE173" s="237" t="n"/>
      <c r="CF173" s="237" t="n"/>
      <c r="CG173" s="237" t="n"/>
      <c r="CH173" s="237" t="n"/>
      <c r="CI173" s="237" t="n"/>
    </row>
    <row r="174" ht="14" customHeight="1">
      <c r="A174" s="237" t="n"/>
      <c r="B174" s="237" t="n"/>
      <c r="C174" s="237" t="n"/>
      <c r="E174" s="239" t="n"/>
      <c r="F174" s="237" t="n"/>
      <c r="G174" s="237" t="n"/>
      <c r="H174" s="237" t="n"/>
      <c r="I174" s="237" t="n"/>
      <c r="J174" s="237" t="n"/>
      <c r="K174" s="237" t="n"/>
      <c r="L174" s="237" t="n"/>
      <c r="M174" s="237" t="n"/>
      <c r="N174" s="237" t="n"/>
      <c r="O174" s="237" t="n"/>
      <c r="P174" s="237" t="n"/>
      <c r="Q174" s="237" t="n"/>
      <c r="R174" s="237" t="n"/>
      <c r="S174" s="237" t="n"/>
      <c r="T174" s="237" t="n"/>
      <c r="U174" s="237" t="n"/>
      <c r="V174" s="237" t="n"/>
      <c r="W174" s="237" t="n"/>
      <c r="X174" s="237" t="n"/>
      <c r="Y174" s="237" t="n"/>
      <c r="Z174" s="240" t="n"/>
      <c r="AA174" s="237" t="n"/>
      <c r="AB174" s="245" t="n"/>
      <c r="AC174" s="237" t="n"/>
      <c r="AD174" s="237" t="n"/>
      <c r="AE174" s="237" t="n"/>
      <c r="AF174" s="237" t="n"/>
      <c r="AG174" s="237" t="n"/>
      <c r="AH174" s="237" t="n"/>
      <c r="AI174" s="237" t="n"/>
      <c r="AJ174" s="237" t="n"/>
      <c r="AK174" s="237" t="n"/>
      <c r="AL174" s="237" t="n"/>
      <c r="AM174" s="237" t="n"/>
      <c r="AN174" s="237" t="n"/>
      <c r="AO174" s="237" t="n"/>
      <c r="AP174" s="237" t="n"/>
      <c r="AQ174" s="237" t="n"/>
      <c r="AR174" s="237" t="n"/>
      <c r="AS174" s="237" t="n"/>
      <c r="AT174" s="237" t="n"/>
      <c r="AU174" s="237" t="n"/>
      <c r="AV174" s="237" t="n"/>
      <c r="AW174" s="237" t="n"/>
      <c r="AX174" s="237" t="n"/>
      <c r="AY174" s="237" t="n"/>
      <c r="AZ174" s="237" t="n"/>
      <c r="BA174" s="237" t="n"/>
      <c r="BB174" s="237" t="n"/>
      <c r="BC174" s="237" t="n"/>
      <c r="BD174" s="237" t="n"/>
      <c r="BE174" s="237" t="n"/>
      <c r="BF174" s="237" t="n"/>
      <c r="BG174" s="237" t="n"/>
      <c r="BH174" s="237" t="n"/>
      <c r="BI174" s="237" t="n"/>
      <c r="BJ174" s="237" t="n"/>
      <c r="BK174" s="237" t="n"/>
      <c r="BL174" s="237" t="n"/>
      <c r="BM174" s="237" t="n"/>
      <c r="BN174" s="237" t="n"/>
      <c r="BO174" s="237" t="n"/>
      <c r="BP174" s="237" t="n"/>
      <c r="BQ174" s="237" t="n"/>
      <c r="BR174" s="237" t="n"/>
      <c r="BS174" s="237" t="n"/>
      <c r="BT174" s="237" t="n"/>
      <c r="BU174" s="237" t="n"/>
      <c r="BV174" s="237" t="n"/>
      <c r="BW174" s="237" t="n"/>
      <c r="BX174" s="237" t="n"/>
      <c r="BY174" s="237" t="n"/>
      <c r="BZ174" s="237" t="n"/>
      <c r="CA174" s="237" t="n"/>
      <c r="CB174" s="237" t="n"/>
      <c r="CC174" s="237" t="n"/>
      <c r="CD174" s="237" t="n"/>
      <c r="CE174" s="237" t="n"/>
      <c r="CF174" s="237" t="n"/>
      <c r="CG174" s="237" t="n"/>
      <c r="CH174" s="237" t="n"/>
      <c r="CI174" s="237" t="n"/>
    </row>
    <row r="175" ht="14" customHeight="1">
      <c r="A175" s="237" t="n"/>
      <c r="B175" s="237" t="n"/>
      <c r="C175" s="237" t="n"/>
      <c r="E175" s="239" t="n"/>
      <c r="F175" s="237" t="n"/>
      <c r="G175" s="237" t="n"/>
      <c r="H175" s="237" t="n"/>
      <c r="I175" s="237" t="n"/>
      <c r="J175" s="237" t="n"/>
      <c r="K175" s="237" t="n"/>
      <c r="L175" s="237" t="n"/>
      <c r="M175" s="237" t="n"/>
      <c r="N175" s="237" t="n"/>
      <c r="O175" s="237" t="n"/>
      <c r="P175" s="237" t="n"/>
      <c r="Q175" s="237" t="n"/>
      <c r="R175" s="237" t="n"/>
      <c r="S175" s="237" t="n"/>
      <c r="T175" s="237" t="n"/>
      <c r="U175" s="237" t="n"/>
      <c r="V175" s="237" t="n"/>
      <c r="W175" s="237" t="n"/>
      <c r="X175" s="237" t="n"/>
      <c r="Y175" s="237" t="n"/>
      <c r="Z175" s="240" t="n"/>
      <c r="AA175" s="237" t="n"/>
      <c r="AB175" s="245" t="n"/>
      <c r="AC175" s="237" t="n"/>
      <c r="AD175" s="237" t="n"/>
      <c r="AE175" s="237" t="n"/>
      <c r="AF175" s="237" t="n"/>
      <c r="AG175" s="237" t="n"/>
      <c r="AH175" s="237" t="n"/>
      <c r="AI175" s="237" t="n"/>
      <c r="AJ175" s="237" t="n"/>
      <c r="AK175" s="237" t="n"/>
      <c r="AL175" s="237" t="n"/>
      <c r="AM175" s="237" t="n"/>
      <c r="AN175" s="237" t="n"/>
      <c r="AO175" s="237" t="n"/>
      <c r="AP175" s="237" t="n"/>
      <c r="AQ175" s="237" t="n"/>
      <c r="AR175" s="237" t="n"/>
      <c r="AS175" s="237" t="n"/>
      <c r="AT175" s="237" t="n"/>
      <c r="AU175" s="237" t="n"/>
      <c r="AV175" s="237" t="n"/>
      <c r="AW175" s="237" t="n"/>
      <c r="AX175" s="237" t="n"/>
      <c r="AY175" s="237" t="n"/>
      <c r="AZ175" s="237" t="n"/>
      <c r="BA175" s="237" t="n"/>
      <c r="BB175" s="237" t="n"/>
      <c r="BC175" s="237" t="n"/>
      <c r="BD175" s="237" t="n"/>
      <c r="BE175" s="237" t="n"/>
      <c r="BF175" s="237" t="n"/>
      <c r="BG175" s="237" t="n"/>
      <c r="BH175" s="237" t="n"/>
      <c r="BI175" s="237" t="n"/>
      <c r="BJ175" s="237" t="n"/>
      <c r="BK175" s="237" t="n"/>
      <c r="BL175" s="237" t="n"/>
      <c r="BM175" s="237" t="n"/>
      <c r="BN175" s="237" t="n"/>
      <c r="BO175" s="237" t="n"/>
      <c r="BP175" s="237" t="n"/>
      <c r="BQ175" s="237" t="n"/>
      <c r="BR175" s="237" t="n"/>
      <c r="BS175" s="237" t="n"/>
      <c r="BT175" s="237" t="n"/>
      <c r="BU175" s="237" t="n"/>
      <c r="BV175" s="237" t="n"/>
      <c r="BW175" s="237" t="n"/>
      <c r="BX175" s="237" t="n"/>
      <c r="BY175" s="237" t="n"/>
      <c r="BZ175" s="237" t="n"/>
      <c r="CA175" s="237" t="n"/>
      <c r="CB175" s="237" t="n"/>
      <c r="CC175" s="237" t="n"/>
      <c r="CD175" s="237" t="n"/>
      <c r="CE175" s="237" t="n"/>
      <c r="CF175" s="237" t="n"/>
      <c r="CG175" s="237" t="n"/>
      <c r="CH175" s="237" t="n"/>
      <c r="CI175" s="237" t="n"/>
    </row>
    <row r="176" ht="14" customHeight="1">
      <c r="A176" s="237" t="n"/>
      <c r="B176" s="237" t="n"/>
      <c r="C176" s="237" t="n"/>
      <c r="E176" s="239" t="n"/>
      <c r="F176" s="237" t="n"/>
      <c r="G176" s="237" t="n"/>
      <c r="H176" s="237" t="n"/>
      <c r="I176" s="237" t="n"/>
      <c r="J176" s="237" t="n"/>
      <c r="K176" s="237" t="n"/>
      <c r="L176" s="237" t="n"/>
      <c r="M176" s="237" t="n"/>
      <c r="N176" s="237" t="n"/>
      <c r="O176" s="237" t="n"/>
      <c r="P176" s="237" t="n"/>
      <c r="Q176" s="237" t="n"/>
      <c r="R176" s="237" t="n"/>
      <c r="S176" s="237" t="n"/>
      <c r="T176" s="237" t="n"/>
      <c r="U176" s="237" t="n"/>
      <c r="V176" s="237" t="n"/>
      <c r="W176" s="237" t="n"/>
      <c r="X176" s="237" t="n"/>
      <c r="Y176" s="237" t="n"/>
      <c r="Z176" s="240" t="n"/>
      <c r="AA176" s="237" t="n"/>
      <c r="AB176" s="245" t="n"/>
      <c r="AC176" s="237" t="n"/>
      <c r="AD176" s="237" t="n"/>
      <c r="AE176" s="237" t="n"/>
      <c r="AF176" s="237" t="n"/>
      <c r="AG176" s="237" t="n"/>
      <c r="AH176" s="237" t="n"/>
      <c r="AI176" s="237" t="n"/>
      <c r="AJ176" s="237" t="n"/>
      <c r="AK176" s="237" t="n"/>
      <c r="AL176" s="237" t="n"/>
      <c r="AM176" s="237" t="n"/>
      <c r="AN176" s="237" t="n"/>
      <c r="AO176" s="237" t="n"/>
      <c r="AP176" s="237" t="n"/>
      <c r="AQ176" s="237" t="n"/>
      <c r="AR176" s="237" t="n"/>
      <c r="AS176" s="237" t="n"/>
      <c r="AT176" s="237" t="n"/>
      <c r="AU176" s="237" t="n"/>
      <c r="AV176" s="237" t="n"/>
      <c r="AW176" s="237" t="n"/>
      <c r="AX176" s="237" t="n"/>
      <c r="AY176" s="237" t="n"/>
      <c r="AZ176" s="237" t="n"/>
      <c r="BA176" s="237" t="n"/>
      <c r="BB176" s="237" t="n"/>
      <c r="BC176" s="237" t="n"/>
      <c r="BD176" s="237" t="n"/>
      <c r="BE176" s="237" t="n"/>
      <c r="BF176" s="237" t="n"/>
      <c r="BG176" s="237" t="n"/>
      <c r="BH176" s="237" t="n"/>
      <c r="BI176" s="237" t="n"/>
      <c r="BJ176" s="237" t="n"/>
      <c r="BK176" s="237" t="n"/>
      <c r="BL176" s="237" t="n"/>
      <c r="BM176" s="237" t="n"/>
      <c r="BN176" s="237" t="n"/>
      <c r="BO176" s="237" t="n"/>
      <c r="BP176" s="237" t="n"/>
      <c r="BQ176" s="237" t="n"/>
      <c r="BR176" s="237" t="n"/>
      <c r="BS176" s="237" t="n"/>
      <c r="BT176" s="237" t="n"/>
      <c r="BU176" s="237" t="n"/>
      <c r="BV176" s="237" t="n"/>
      <c r="BW176" s="237" t="n"/>
      <c r="BX176" s="237" t="n"/>
      <c r="BY176" s="237" t="n"/>
      <c r="BZ176" s="237" t="n"/>
      <c r="CA176" s="237" t="n"/>
      <c r="CB176" s="237" t="n"/>
      <c r="CC176" s="237" t="n"/>
      <c r="CD176" s="237" t="n"/>
      <c r="CE176" s="237" t="n"/>
      <c r="CF176" s="237" t="n"/>
      <c r="CG176" s="237" t="n"/>
      <c r="CH176" s="237" t="n"/>
      <c r="CI176" s="237" t="n"/>
    </row>
    <row r="177" ht="14" customHeight="1">
      <c r="A177" s="237" t="n"/>
      <c r="B177" s="237" t="n"/>
      <c r="C177" s="237" t="n"/>
      <c r="E177" s="239" t="n"/>
      <c r="F177" s="237" t="n"/>
      <c r="G177" s="237" t="n"/>
      <c r="H177" s="237" t="n"/>
      <c r="I177" s="237" t="n"/>
      <c r="J177" s="237" t="n"/>
      <c r="K177" s="237" t="n"/>
      <c r="L177" s="237" t="n"/>
      <c r="M177" s="237" t="n"/>
      <c r="N177" s="237" t="n"/>
      <c r="O177" s="237" t="n"/>
      <c r="P177" s="237" t="n"/>
      <c r="Q177" s="237" t="n"/>
      <c r="R177" s="237" t="n"/>
      <c r="S177" s="237" t="n"/>
      <c r="T177" s="237" t="n"/>
      <c r="U177" s="237" t="n"/>
      <c r="V177" s="237" t="n"/>
      <c r="W177" s="237" t="n"/>
      <c r="X177" s="237" t="n"/>
      <c r="Y177" s="237" t="n"/>
      <c r="Z177" s="240" t="n"/>
      <c r="AA177" s="237" t="n"/>
      <c r="AB177" s="245" t="n"/>
      <c r="AC177" s="237" t="n"/>
      <c r="AD177" s="237" t="n"/>
      <c r="AE177" s="237" t="n"/>
      <c r="AF177" s="237" t="n"/>
      <c r="AG177" s="237" t="n"/>
      <c r="AH177" s="237" t="n"/>
      <c r="AI177" s="237" t="n"/>
      <c r="AJ177" s="237" t="n"/>
      <c r="AK177" s="237" t="n"/>
      <c r="AL177" s="237" t="n"/>
      <c r="AM177" s="237" t="n"/>
      <c r="AN177" s="237" t="n"/>
      <c r="AO177" s="237" t="n"/>
      <c r="AP177" s="237" t="n"/>
      <c r="AQ177" s="237" t="n"/>
      <c r="AR177" s="237" t="n"/>
      <c r="AS177" s="237" t="n"/>
      <c r="AT177" s="237" t="n"/>
      <c r="AU177" s="237" t="n"/>
      <c r="AV177" s="237" t="n"/>
      <c r="AW177" s="237" t="n"/>
      <c r="AX177" s="237" t="n"/>
      <c r="AY177" s="237" t="n"/>
      <c r="AZ177" s="237" t="n"/>
      <c r="BA177" s="237" t="n"/>
      <c r="BB177" s="237" t="n"/>
      <c r="BC177" s="237" t="n"/>
      <c r="BD177" s="237" t="n"/>
      <c r="BE177" s="237" t="n"/>
      <c r="BF177" s="237" t="n"/>
      <c r="BG177" s="237" t="n"/>
      <c r="BH177" s="237" t="n"/>
      <c r="BI177" s="237" t="n"/>
      <c r="BJ177" s="237" t="n"/>
      <c r="BK177" s="237" t="n"/>
      <c r="BL177" s="237" t="n"/>
      <c r="BM177" s="237" t="n"/>
      <c r="BN177" s="237" t="n"/>
      <c r="BO177" s="237" t="n"/>
      <c r="BP177" s="237" t="n"/>
      <c r="BQ177" s="237" t="n"/>
      <c r="BR177" s="237" t="n"/>
      <c r="BS177" s="237" t="n"/>
      <c r="BT177" s="237" t="n"/>
      <c r="BU177" s="237" t="n"/>
      <c r="BV177" s="237" t="n"/>
      <c r="BW177" s="237" t="n"/>
      <c r="BX177" s="237" t="n"/>
      <c r="BY177" s="237" t="n"/>
      <c r="BZ177" s="237" t="n"/>
      <c r="CA177" s="237" t="n"/>
      <c r="CB177" s="237" t="n"/>
      <c r="CC177" s="237" t="n"/>
      <c r="CD177" s="237" t="n"/>
      <c r="CE177" s="237" t="n"/>
      <c r="CF177" s="237" t="n"/>
      <c r="CG177" s="237" t="n"/>
      <c r="CH177" s="237" t="n"/>
      <c r="CI177" s="237" t="n"/>
    </row>
    <row r="178" ht="14" customHeight="1">
      <c r="A178" s="237" t="n"/>
      <c r="B178" s="237" t="n"/>
      <c r="C178" s="237" t="n"/>
      <c r="E178" s="239" t="n"/>
      <c r="F178" s="237" t="n"/>
      <c r="G178" s="237" t="n"/>
      <c r="H178" s="237" t="n"/>
      <c r="I178" s="237" t="n"/>
      <c r="J178" s="237" t="n"/>
      <c r="K178" s="237" t="n"/>
      <c r="L178" s="237" t="n"/>
      <c r="M178" s="237" t="n"/>
      <c r="N178" s="237" t="n"/>
      <c r="O178" s="237" t="n"/>
      <c r="P178" s="237" t="n"/>
      <c r="Q178" s="237" t="n"/>
      <c r="R178" s="237" t="n"/>
      <c r="S178" s="237" t="n"/>
      <c r="T178" s="237" t="n"/>
      <c r="U178" s="237" t="n"/>
      <c r="V178" s="237" t="n"/>
      <c r="W178" s="237" t="n"/>
      <c r="X178" s="237" t="n"/>
      <c r="Y178" s="237" t="n"/>
      <c r="Z178" s="240" t="n"/>
      <c r="AA178" s="237" t="n"/>
      <c r="AB178" s="245" t="n"/>
      <c r="AC178" s="237" t="n"/>
      <c r="AD178" s="237" t="n"/>
      <c r="AE178" s="237" t="n"/>
      <c r="AF178" s="237" t="n"/>
      <c r="AG178" s="237" t="n"/>
      <c r="AH178" s="237" t="n"/>
      <c r="AI178" s="237" t="n"/>
      <c r="AJ178" s="237" t="n"/>
      <c r="AK178" s="237" t="n"/>
      <c r="AL178" s="237" t="n"/>
      <c r="AM178" s="237" t="n"/>
      <c r="AN178" s="237" t="n"/>
      <c r="AO178" s="237" t="n"/>
      <c r="AP178" s="237" t="n"/>
      <c r="AQ178" s="237" t="n"/>
      <c r="AR178" s="237" t="n"/>
      <c r="AS178" s="237" t="n"/>
      <c r="AT178" s="237" t="n"/>
      <c r="AU178" s="237" t="n"/>
      <c r="AV178" s="237" t="n"/>
      <c r="AW178" s="237" t="n"/>
      <c r="AX178" s="237" t="n"/>
      <c r="AY178" s="237" t="n"/>
      <c r="AZ178" s="237" t="n"/>
      <c r="BA178" s="237" t="n"/>
      <c r="BB178" s="237" t="n"/>
      <c r="BC178" s="237" t="n"/>
      <c r="BD178" s="237" t="n"/>
      <c r="BE178" s="237" t="n"/>
      <c r="BF178" s="237" t="n"/>
      <c r="BG178" s="237" t="n"/>
      <c r="BH178" s="237" t="n"/>
      <c r="BI178" s="237" t="n"/>
      <c r="BJ178" s="237" t="n"/>
      <c r="BK178" s="237" t="n"/>
      <c r="BL178" s="237" t="n"/>
      <c r="BM178" s="237" t="n"/>
      <c r="BN178" s="237" t="n"/>
      <c r="BO178" s="237" t="n"/>
      <c r="BP178" s="237" t="n"/>
      <c r="BQ178" s="237" t="n"/>
      <c r="BR178" s="237" t="n"/>
      <c r="BS178" s="237" t="n"/>
      <c r="BT178" s="237" t="n"/>
      <c r="BU178" s="237" t="n"/>
      <c r="BV178" s="237" t="n"/>
      <c r="BW178" s="237" t="n"/>
      <c r="BX178" s="237" t="n"/>
      <c r="BY178" s="237" t="n"/>
      <c r="BZ178" s="237" t="n"/>
      <c r="CA178" s="237" t="n"/>
      <c r="CB178" s="237" t="n"/>
      <c r="CC178" s="237" t="n"/>
      <c r="CD178" s="237" t="n"/>
      <c r="CE178" s="237" t="n"/>
      <c r="CF178" s="237" t="n"/>
      <c r="CG178" s="237" t="n"/>
      <c r="CH178" s="237" t="n"/>
      <c r="CI178" s="237" t="n"/>
    </row>
    <row r="179" ht="14" customHeight="1">
      <c r="A179" s="237" t="n"/>
      <c r="B179" s="237" t="n"/>
      <c r="C179" s="237" t="n"/>
      <c r="E179" s="239" t="n"/>
      <c r="F179" s="237" t="n"/>
      <c r="G179" s="237" t="n"/>
      <c r="H179" s="237" t="n"/>
      <c r="I179" s="237" t="n"/>
      <c r="J179" s="237" t="n"/>
      <c r="K179" s="237" t="n"/>
      <c r="L179" s="237" t="n"/>
      <c r="M179" s="237" t="n"/>
      <c r="N179" s="237" t="n"/>
      <c r="O179" s="237" t="n"/>
      <c r="P179" s="237" t="n"/>
      <c r="Q179" s="237" t="n"/>
      <c r="R179" s="237" t="n"/>
      <c r="S179" s="237" t="n"/>
      <c r="T179" s="237" t="n"/>
      <c r="U179" s="237" t="n"/>
      <c r="V179" s="237" t="n"/>
      <c r="W179" s="237" t="n"/>
      <c r="X179" s="237" t="n"/>
      <c r="Y179" s="237" t="n"/>
      <c r="Z179" s="240" t="n"/>
      <c r="AA179" s="237" t="n"/>
      <c r="AB179" s="245" t="n"/>
      <c r="AC179" s="237" t="n"/>
      <c r="AD179" s="237" t="n"/>
      <c r="AE179" s="237" t="n"/>
      <c r="AF179" s="237" t="n"/>
      <c r="AG179" s="237" t="n"/>
      <c r="AH179" s="237" t="n"/>
      <c r="AI179" s="237" t="n"/>
      <c r="AJ179" s="237" t="n"/>
      <c r="AK179" s="237" t="n"/>
      <c r="AL179" s="237" t="n"/>
      <c r="AM179" s="237" t="n"/>
      <c r="AN179" s="237" t="n"/>
      <c r="AO179" s="237" t="n"/>
      <c r="AP179" s="237" t="n"/>
      <c r="AQ179" s="237" t="n"/>
      <c r="AR179" s="237" t="n"/>
      <c r="AS179" s="237" t="n"/>
      <c r="AT179" s="237" t="n"/>
      <c r="AU179" s="237" t="n"/>
      <c r="AV179" s="237" t="n"/>
      <c r="AW179" s="237" t="n"/>
      <c r="AX179" s="237" t="n"/>
      <c r="AY179" s="237" t="n"/>
      <c r="AZ179" s="237" t="n"/>
      <c r="BA179" s="237" t="n"/>
      <c r="BB179" s="237" t="n"/>
      <c r="BC179" s="237" t="n"/>
      <c r="BD179" s="237" t="n"/>
      <c r="BE179" s="237" t="n"/>
      <c r="BF179" s="237" t="n"/>
      <c r="BG179" s="237" t="n"/>
      <c r="BH179" s="237" t="n"/>
      <c r="BI179" s="237" t="n"/>
      <c r="BJ179" s="237" t="n"/>
      <c r="BK179" s="237" t="n"/>
      <c r="BL179" s="237" t="n"/>
      <c r="BM179" s="237" t="n"/>
      <c r="BN179" s="237" t="n"/>
      <c r="BO179" s="237" t="n"/>
      <c r="BP179" s="237" t="n"/>
      <c r="BQ179" s="237" t="n"/>
      <c r="BR179" s="237" t="n"/>
      <c r="BS179" s="237" t="n"/>
      <c r="BT179" s="237" t="n"/>
      <c r="BU179" s="237" t="n"/>
      <c r="BV179" s="237" t="n"/>
      <c r="BW179" s="237" t="n"/>
      <c r="BX179" s="237" t="n"/>
      <c r="BY179" s="237" t="n"/>
      <c r="BZ179" s="237" t="n"/>
      <c r="CA179" s="237" t="n"/>
      <c r="CB179" s="237" t="n"/>
      <c r="CC179" s="237" t="n"/>
      <c r="CD179" s="237" t="n"/>
      <c r="CE179" s="237" t="n"/>
      <c r="CF179" s="237" t="n"/>
      <c r="CG179" s="237" t="n"/>
      <c r="CH179" s="237" t="n"/>
      <c r="CI179" s="237" t="n"/>
    </row>
    <row r="180" ht="14" customHeight="1">
      <c r="A180" s="237" t="n"/>
      <c r="B180" s="237" t="n"/>
      <c r="C180" s="237" t="n"/>
      <c r="E180" s="239" t="n"/>
      <c r="F180" s="237" t="n"/>
      <c r="G180" s="237" t="n"/>
      <c r="H180" s="237" t="n"/>
      <c r="I180" s="237" t="n"/>
      <c r="J180" s="237" t="n"/>
      <c r="K180" s="237" t="n"/>
      <c r="L180" s="237" t="n"/>
      <c r="M180" s="237" t="n"/>
      <c r="N180" s="237" t="n"/>
      <c r="O180" s="237" t="n"/>
      <c r="P180" s="237" t="n"/>
      <c r="Q180" s="237" t="n"/>
      <c r="R180" s="237" t="n"/>
      <c r="S180" s="237" t="n"/>
      <c r="T180" s="237" t="n"/>
      <c r="U180" s="237" t="n"/>
      <c r="V180" s="237" t="n"/>
      <c r="W180" s="237" t="n"/>
      <c r="X180" s="237" t="n"/>
      <c r="Y180" s="237" t="n"/>
      <c r="Z180" s="240" t="n"/>
      <c r="AA180" s="237" t="n"/>
      <c r="AB180" s="245" t="n"/>
      <c r="AC180" s="237" t="n"/>
      <c r="AD180" s="237" t="n"/>
      <c r="AE180" s="237" t="n"/>
      <c r="AF180" s="237" t="n"/>
      <c r="AG180" s="237" t="n"/>
      <c r="AH180" s="237" t="n"/>
      <c r="AI180" s="237" t="n"/>
      <c r="AJ180" s="237" t="n"/>
      <c r="AK180" s="237" t="n"/>
      <c r="AL180" s="237" t="n"/>
      <c r="AM180" s="237" t="n"/>
      <c r="AN180" s="237" t="n"/>
      <c r="AO180" s="237" t="n"/>
      <c r="AP180" s="237" t="n"/>
      <c r="AQ180" s="237" t="n"/>
      <c r="AR180" s="237" t="n"/>
      <c r="AS180" s="237" t="n"/>
      <c r="AT180" s="237" t="n"/>
      <c r="AU180" s="237" t="n"/>
      <c r="AV180" s="237" t="n"/>
      <c r="AW180" s="237" t="n"/>
      <c r="AX180" s="237" t="n"/>
      <c r="AY180" s="237" t="n"/>
      <c r="AZ180" s="237" t="n"/>
      <c r="BA180" s="237" t="n"/>
      <c r="BB180" s="237" t="n"/>
      <c r="BC180" s="237" t="n"/>
      <c r="BD180" s="237" t="n"/>
      <c r="BE180" s="237" t="n"/>
      <c r="BF180" s="237" t="n"/>
      <c r="BG180" s="237" t="n"/>
      <c r="BH180" s="237" t="n"/>
      <c r="BI180" s="237" t="n"/>
      <c r="BJ180" s="237" t="n"/>
      <c r="BK180" s="237" t="n"/>
      <c r="BL180" s="237" t="n"/>
      <c r="BM180" s="237" t="n"/>
      <c r="BN180" s="237" t="n"/>
      <c r="BO180" s="237" t="n"/>
      <c r="BP180" s="237" t="n"/>
      <c r="BQ180" s="237" t="n"/>
      <c r="BR180" s="237" t="n"/>
      <c r="BS180" s="237" t="n"/>
      <c r="BT180" s="237" t="n"/>
      <c r="BU180" s="237" t="n"/>
      <c r="BV180" s="237" t="n"/>
      <c r="BW180" s="237" t="n"/>
      <c r="BX180" s="237" t="n"/>
      <c r="BY180" s="237" t="n"/>
      <c r="BZ180" s="237" t="n"/>
      <c r="CA180" s="237" t="n"/>
      <c r="CB180" s="237" t="n"/>
      <c r="CC180" s="237" t="n"/>
      <c r="CD180" s="237" t="n"/>
      <c r="CE180" s="237" t="n"/>
      <c r="CF180" s="237" t="n"/>
      <c r="CG180" s="237" t="n"/>
      <c r="CH180" s="237" t="n"/>
      <c r="CI180" s="237" t="n"/>
    </row>
    <row r="181" ht="14" customHeight="1">
      <c r="A181" s="237" t="n"/>
      <c r="B181" s="237" t="n"/>
      <c r="C181" s="237" t="n"/>
      <c r="E181" s="239" t="n"/>
      <c r="F181" s="237" t="n"/>
      <c r="G181" s="237" t="n"/>
      <c r="H181" s="237" t="n"/>
      <c r="I181" s="237" t="n"/>
      <c r="J181" s="237" t="n"/>
      <c r="K181" s="237" t="n"/>
      <c r="L181" s="237" t="n"/>
      <c r="M181" s="237" t="n"/>
      <c r="N181" s="237" t="n"/>
      <c r="O181" s="237" t="n"/>
      <c r="P181" s="237" t="n"/>
      <c r="Q181" s="237" t="n"/>
      <c r="R181" s="237" t="n"/>
      <c r="S181" s="237" t="n"/>
      <c r="T181" s="237" t="n"/>
      <c r="U181" s="237" t="n"/>
      <c r="V181" s="237" t="n"/>
      <c r="W181" s="237" t="n"/>
      <c r="X181" s="237" t="n"/>
      <c r="Y181" s="237" t="n"/>
      <c r="Z181" s="240" t="n"/>
      <c r="AA181" s="237" t="n"/>
      <c r="AB181" s="245" t="n"/>
      <c r="AC181" s="237" t="n"/>
      <c r="AD181" s="237" t="n"/>
      <c r="AE181" s="237" t="n"/>
      <c r="AF181" s="237" t="n"/>
      <c r="AG181" s="237" t="n"/>
      <c r="AH181" s="237" t="n"/>
      <c r="AI181" s="237" t="n"/>
      <c r="AJ181" s="237" t="n"/>
      <c r="AK181" s="237" t="n"/>
      <c r="AL181" s="237" t="n"/>
      <c r="AM181" s="237" t="n"/>
      <c r="AN181" s="237" t="n"/>
      <c r="AO181" s="237" t="n"/>
      <c r="AP181" s="237" t="n"/>
      <c r="AQ181" s="237" t="n"/>
      <c r="AR181" s="237" t="n"/>
      <c r="AS181" s="237" t="n"/>
      <c r="AT181" s="237" t="n"/>
      <c r="AU181" s="237" t="n"/>
      <c r="AV181" s="237" t="n"/>
      <c r="AW181" s="237" t="n"/>
      <c r="AX181" s="237" t="n"/>
      <c r="AY181" s="237" t="n"/>
      <c r="AZ181" s="237" t="n"/>
      <c r="BA181" s="237" t="n"/>
      <c r="BB181" s="237" t="n"/>
      <c r="BC181" s="237" t="n"/>
      <c r="BD181" s="237" t="n"/>
      <c r="BE181" s="237" t="n"/>
      <c r="BF181" s="237" t="n"/>
      <c r="BG181" s="237" t="n"/>
      <c r="BH181" s="237" t="n"/>
      <c r="BI181" s="237" t="n"/>
      <c r="BJ181" s="237" t="n"/>
      <c r="BK181" s="237" t="n"/>
      <c r="BL181" s="237" t="n"/>
      <c r="BM181" s="237" t="n"/>
      <c r="BN181" s="237" t="n"/>
      <c r="BO181" s="237" t="n"/>
      <c r="BP181" s="237" t="n"/>
      <c r="BQ181" s="237" t="n"/>
      <c r="BR181" s="237" t="n"/>
      <c r="BS181" s="237" t="n"/>
      <c r="BT181" s="237" t="n"/>
      <c r="BU181" s="237" t="n"/>
      <c r="BV181" s="237" t="n"/>
      <c r="BW181" s="237" t="n"/>
      <c r="BX181" s="237" t="n"/>
      <c r="BY181" s="237" t="n"/>
      <c r="BZ181" s="237" t="n"/>
      <c r="CA181" s="237" t="n"/>
      <c r="CB181" s="237" t="n"/>
      <c r="CC181" s="237" t="n"/>
      <c r="CD181" s="237" t="n"/>
      <c r="CE181" s="237" t="n"/>
      <c r="CF181" s="237" t="n"/>
      <c r="CG181" s="237" t="n"/>
      <c r="CH181" s="237" t="n"/>
      <c r="CI181" s="237" t="n"/>
    </row>
    <row r="182" ht="14" customHeight="1">
      <c r="A182" s="237" t="n"/>
      <c r="B182" s="237" t="n"/>
      <c r="C182" s="237" t="n"/>
      <c r="E182" s="239" t="n"/>
      <c r="F182" s="237" t="n"/>
      <c r="G182" s="237" t="n"/>
      <c r="H182" s="237" t="n"/>
      <c r="I182" s="237" t="n"/>
      <c r="J182" s="237" t="n"/>
      <c r="K182" s="237" t="n"/>
      <c r="L182" s="237" t="n"/>
      <c r="M182" s="237" t="n"/>
      <c r="N182" s="237" t="n"/>
      <c r="O182" s="237" t="n"/>
      <c r="P182" s="237" t="n"/>
      <c r="Q182" s="237" t="n"/>
      <c r="R182" s="237" t="n"/>
      <c r="S182" s="237" t="n"/>
      <c r="T182" s="237" t="n"/>
      <c r="U182" s="237" t="n"/>
      <c r="V182" s="237" t="n"/>
      <c r="W182" s="237" t="n"/>
      <c r="X182" s="237" t="n"/>
      <c r="Y182" s="237" t="n"/>
      <c r="Z182" s="240" t="n"/>
      <c r="AA182" s="237" t="n"/>
      <c r="AB182" s="245" t="n"/>
      <c r="AC182" s="237" t="n"/>
      <c r="AD182" s="237" t="n"/>
      <c r="AE182" s="237" t="n"/>
      <c r="AF182" s="237" t="n"/>
      <c r="AG182" s="237" t="n"/>
      <c r="AH182" s="237" t="n"/>
      <c r="AI182" s="237" t="n"/>
      <c r="AJ182" s="237" t="n"/>
      <c r="AK182" s="237" t="n"/>
      <c r="AL182" s="237" t="n"/>
      <c r="AM182" s="237" t="n"/>
      <c r="AN182" s="237" t="n"/>
      <c r="AO182" s="237" t="n"/>
      <c r="AP182" s="237" t="n"/>
      <c r="AQ182" s="237" t="n"/>
      <c r="AR182" s="237" t="n"/>
      <c r="AS182" s="237" t="n"/>
      <c r="AT182" s="237" t="n"/>
      <c r="AU182" s="237" t="n"/>
      <c r="AV182" s="237" t="n"/>
      <c r="AW182" s="237" t="n"/>
      <c r="AX182" s="237" t="n"/>
      <c r="AY182" s="237" t="n"/>
      <c r="AZ182" s="237" t="n"/>
      <c r="BA182" s="237" t="n"/>
      <c r="BB182" s="237" t="n"/>
      <c r="BC182" s="237" t="n"/>
      <c r="BD182" s="237" t="n"/>
      <c r="BE182" s="237" t="n"/>
      <c r="BF182" s="237" t="n"/>
      <c r="BG182" s="237" t="n"/>
      <c r="BH182" s="237" t="n"/>
      <c r="BI182" s="237" t="n"/>
      <c r="BJ182" s="237" t="n"/>
      <c r="BK182" s="237" t="n"/>
      <c r="BL182" s="237" t="n"/>
      <c r="BM182" s="237" t="n"/>
      <c r="BN182" s="237" t="n"/>
      <c r="BO182" s="237" t="n"/>
      <c r="BP182" s="237" t="n"/>
      <c r="BQ182" s="237" t="n"/>
      <c r="BR182" s="237" t="n"/>
      <c r="BS182" s="237" t="n"/>
      <c r="BT182" s="237" t="n"/>
      <c r="BU182" s="237" t="n"/>
      <c r="BV182" s="237" t="n"/>
      <c r="BW182" s="237" t="n"/>
      <c r="BX182" s="237" t="n"/>
      <c r="BY182" s="237" t="n"/>
      <c r="BZ182" s="237" t="n"/>
      <c r="CA182" s="237" t="n"/>
      <c r="CB182" s="237" t="n"/>
      <c r="CC182" s="237" t="n"/>
      <c r="CD182" s="237" t="n"/>
      <c r="CE182" s="237" t="n"/>
      <c r="CF182" s="237" t="n"/>
      <c r="CG182" s="237" t="n"/>
      <c r="CH182" s="237" t="n"/>
      <c r="CI182" s="237" t="n"/>
    </row>
    <row r="183" ht="14" customHeight="1">
      <c r="A183" s="237" t="n"/>
      <c r="B183" s="237" t="n"/>
      <c r="C183" s="237" t="n"/>
      <c r="E183" s="239" t="n"/>
      <c r="F183" s="237" t="n"/>
      <c r="G183" s="237" t="n"/>
      <c r="H183" s="237" t="n"/>
      <c r="I183" s="237" t="n"/>
      <c r="J183" s="237" t="n"/>
      <c r="K183" s="237" t="n"/>
      <c r="L183" s="237" t="n"/>
      <c r="M183" s="237" t="n"/>
      <c r="N183" s="237" t="n"/>
      <c r="O183" s="237" t="n"/>
      <c r="P183" s="237" t="n"/>
      <c r="Q183" s="237" t="n"/>
      <c r="R183" s="237" t="n"/>
      <c r="S183" s="237" t="n"/>
      <c r="T183" s="237" t="n"/>
      <c r="U183" s="237" t="n"/>
      <c r="V183" s="237" t="n"/>
      <c r="W183" s="237" t="n"/>
      <c r="X183" s="237" t="n"/>
      <c r="Y183" s="237" t="n"/>
      <c r="Z183" s="240" t="n"/>
      <c r="AA183" s="237" t="n"/>
      <c r="AB183" s="245" t="n"/>
      <c r="AC183" s="237" t="n"/>
      <c r="AD183" s="237" t="n"/>
      <c r="AE183" s="237" t="n"/>
      <c r="AF183" s="237" t="n"/>
      <c r="AG183" s="237" t="n"/>
      <c r="AH183" s="237" t="n"/>
      <c r="AI183" s="237" t="n"/>
      <c r="AJ183" s="237" t="n"/>
      <c r="AK183" s="237" t="n"/>
      <c r="AL183" s="237" t="n"/>
      <c r="AM183" s="237" t="n"/>
      <c r="AN183" s="237" t="n"/>
      <c r="AO183" s="237" t="n"/>
      <c r="AP183" s="237" t="n"/>
      <c r="AQ183" s="237" t="n"/>
      <c r="AR183" s="237" t="n"/>
      <c r="AS183" s="237" t="n"/>
      <c r="AT183" s="237" t="n"/>
      <c r="AU183" s="237" t="n"/>
      <c r="AV183" s="237" t="n"/>
      <c r="AW183" s="237" t="n"/>
      <c r="AX183" s="237" t="n"/>
      <c r="AY183" s="237" t="n"/>
      <c r="AZ183" s="237" t="n"/>
      <c r="BA183" s="237" t="n"/>
      <c r="BB183" s="237" t="n"/>
      <c r="BC183" s="237" t="n"/>
      <c r="BD183" s="237" t="n"/>
      <c r="BE183" s="237" t="n"/>
      <c r="BF183" s="237" t="n"/>
      <c r="BG183" s="237" t="n"/>
      <c r="BH183" s="237" t="n"/>
      <c r="BI183" s="237" t="n"/>
      <c r="BJ183" s="237" t="n"/>
      <c r="BK183" s="237" t="n"/>
      <c r="BL183" s="237" t="n"/>
      <c r="BM183" s="237" t="n"/>
      <c r="BN183" s="237" t="n"/>
      <c r="BO183" s="237" t="n"/>
      <c r="BP183" s="237" t="n"/>
      <c r="BQ183" s="237" t="n"/>
      <c r="BR183" s="237" t="n"/>
      <c r="BS183" s="237" t="n"/>
      <c r="BT183" s="237" t="n"/>
      <c r="BU183" s="237" t="n"/>
      <c r="BV183" s="237" t="n"/>
      <c r="BW183" s="237" t="n"/>
      <c r="BX183" s="237" t="n"/>
      <c r="BY183" s="237" t="n"/>
      <c r="BZ183" s="237" t="n"/>
      <c r="CA183" s="237" t="n"/>
      <c r="CB183" s="237" t="n"/>
      <c r="CC183" s="237" t="n"/>
      <c r="CD183" s="237" t="n"/>
      <c r="CE183" s="237" t="n"/>
      <c r="CF183" s="237" t="n"/>
      <c r="CG183" s="237" t="n"/>
      <c r="CH183" s="237" t="n"/>
      <c r="CI183" s="237" t="n"/>
    </row>
    <row r="184" ht="14" customHeight="1">
      <c r="A184" s="237" t="n"/>
      <c r="B184" s="237" t="n"/>
      <c r="C184" s="237" t="n"/>
      <c r="E184" s="239" t="n"/>
      <c r="F184" s="237" t="n"/>
      <c r="G184" s="237" t="n"/>
      <c r="H184" s="237" t="n"/>
      <c r="I184" s="237" t="n"/>
      <c r="J184" s="237" t="n"/>
      <c r="K184" s="237" t="n"/>
      <c r="L184" s="237" t="n"/>
      <c r="M184" s="237" t="n"/>
      <c r="N184" s="237" t="n"/>
      <c r="O184" s="237" t="n"/>
      <c r="P184" s="237" t="n"/>
      <c r="Q184" s="237" t="n"/>
      <c r="R184" s="237" t="n"/>
      <c r="S184" s="237" t="n"/>
      <c r="T184" s="237" t="n"/>
      <c r="U184" s="237" t="n"/>
      <c r="V184" s="237" t="n"/>
      <c r="W184" s="237" t="n"/>
      <c r="X184" s="237" t="n"/>
      <c r="Y184" s="237" t="n"/>
      <c r="Z184" s="240" t="n"/>
      <c r="AA184" s="237" t="n"/>
      <c r="AB184" s="245" t="n"/>
      <c r="AC184" s="237" t="n"/>
      <c r="AD184" s="237" t="n"/>
      <c r="AE184" s="237" t="n"/>
      <c r="AF184" s="237" t="n"/>
      <c r="AG184" s="237" t="n"/>
      <c r="AH184" s="237" t="n"/>
      <c r="AI184" s="237" t="n"/>
      <c r="AJ184" s="237" t="n"/>
      <c r="AK184" s="237" t="n"/>
      <c r="AL184" s="237" t="n"/>
      <c r="AM184" s="237" t="n"/>
      <c r="AN184" s="237" t="n"/>
      <c r="AO184" s="237" t="n"/>
      <c r="AP184" s="237" t="n"/>
      <c r="AQ184" s="237" t="n"/>
      <c r="AR184" s="237" t="n"/>
      <c r="AS184" s="237" t="n"/>
      <c r="AT184" s="237" t="n"/>
      <c r="AU184" s="237" t="n"/>
      <c r="AV184" s="237" t="n"/>
      <c r="AW184" s="237" t="n"/>
      <c r="AX184" s="237" t="n"/>
      <c r="AY184" s="237" t="n"/>
      <c r="AZ184" s="237" t="n"/>
      <c r="BA184" s="237" t="n"/>
      <c r="BB184" s="237" t="n"/>
      <c r="BC184" s="237" t="n"/>
      <c r="BD184" s="237" t="n"/>
      <c r="BE184" s="237" t="n"/>
      <c r="BF184" s="237" t="n"/>
      <c r="BG184" s="237" t="n"/>
      <c r="BH184" s="237" t="n"/>
      <c r="BI184" s="237" t="n"/>
      <c r="BJ184" s="237" t="n"/>
      <c r="BK184" s="237" t="n"/>
      <c r="BL184" s="237" t="n"/>
      <c r="BM184" s="237" t="n"/>
      <c r="BN184" s="237" t="n"/>
      <c r="BO184" s="237" t="n"/>
      <c r="BP184" s="237" t="n"/>
      <c r="BQ184" s="237" t="n"/>
      <c r="BR184" s="237" t="n"/>
      <c r="BS184" s="237" t="n"/>
      <c r="BT184" s="237" t="n"/>
      <c r="BU184" s="237" t="n"/>
      <c r="BV184" s="237" t="n"/>
      <c r="BW184" s="237" t="n"/>
      <c r="BX184" s="237" t="n"/>
      <c r="BY184" s="237" t="n"/>
      <c r="BZ184" s="237" t="n"/>
      <c r="CA184" s="237" t="n"/>
      <c r="CB184" s="237" t="n"/>
      <c r="CC184" s="237" t="n"/>
      <c r="CD184" s="237" t="n"/>
      <c r="CE184" s="237" t="n"/>
      <c r="CF184" s="237" t="n"/>
      <c r="CG184" s="237" t="n"/>
      <c r="CH184" s="237" t="n"/>
      <c r="CI184" s="237" t="n"/>
    </row>
    <row r="185" ht="14" customHeight="1">
      <c r="A185" s="237" t="n"/>
      <c r="B185" s="237" t="n"/>
      <c r="C185" s="237" t="n"/>
      <c r="E185" s="239" t="n"/>
      <c r="F185" s="237" t="n"/>
      <c r="G185" s="237" t="n"/>
      <c r="H185" s="237" t="n"/>
      <c r="I185" s="237" t="n"/>
      <c r="J185" s="237" t="n"/>
      <c r="K185" s="237" t="n"/>
      <c r="L185" s="237" t="n"/>
      <c r="M185" s="237" t="n"/>
      <c r="N185" s="237" t="n"/>
      <c r="O185" s="237" t="n"/>
      <c r="P185" s="237" t="n"/>
      <c r="Q185" s="237" t="n"/>
      <c r="R185" s="237" t="n"/>
      <c r="S185" s="237" t="n"/>
      <c r="T185" s="237" t="n"/>
      <c r="U185" s="237" t="n"/>
      <c r="V185" s="237" t="n"/>
      <c r="W185" s="237" t="n"/>
      <c r="X185" s="237" t="n"/>
      <c r="Y185" s="237" t="n"/>
      <c r="Z185" s="240" t="n"/>
      <c r="AA185" s="237" t="n"/>
      <c r="AB185" s="245" t="n"/>
      <c r="AC185" s="237" t="n"/>
      <c r="AD185" s="237" t="n"/>
      <c r="AE185" s="237" t="n"/>
      <c r="AF185" s="237" t="n"/>
      <c r="AG185" s="237" t="n"/>
      <c r="AH185" s="237" t="n"/>
      <c r="AI185" s="237" t="n"/>
      <c r="AJ185" s="237" t="n"/>
      <c r="AK185" s="237" t="n"/>
      <c r="AL185" s="237" t="n"/>
      <c r="AM185" s="237" t="n"/>
      <c r="AN185" s="237" t="n"/>
      <c r="AO185" s="237" t="n"/>
      <c r="AP185" s="237" t="n"/>
      <c r="AQ185" s="237" t="n"/>
      <c r="AR185" s="237" t="n"/>
      <c r="AS185" s="237" t="n"/>
      <c r="AT185" s="237" t="n"/>
      <c r="AU185" s="237" t="n"/>
      <c r="AV185" s="237" t="n"/>
      <c r="AW185" s="237" t="n"/>
      <c r="AX185" s="237" t="n"/>
      <c r="AY185" s="237" t="n"/>
      <c r="AZ185" s="237" t="n"/>
      <c r="BA185" s="237" t="n"/>
      <c r="BB185" s="237" t="n"/>
      <c r="BC185" s="237" t="n"/>
      <c r="BD185" s="237" t="n"/>
      <c r="BE185" s="237" t="n"/>
      <c r="BF185" s="237" t="n"/>
      <c r="BG185" s="237" t="n"/>
      <c r="BH185" s="237" t="n"/>
      <c r="BI185" s="237" t="n"/>
      <c r="BJ185" s="237" t="n"/>
      <c r="BK185" s="237" t="n"/>
      <c r="BL185" s="237" t="n"/>
      <c r="BM185" s="237" t="n"/>
      <c r="BN185" s="237" t="n"/>
      <c r="BO185" s="237" t="n"/>
      <c r="BP185" s="237" t="n"/>
      <c r="BQ185" s="237" t="n"/>
      <c r="BR185" s="237" t="n"/>
      <c r="BS185" s="237" t="n"/>
      <c r="BT185" s="237" t="n"/>
      <c r="BU185" s="237" t="n"/>
      <c r="BV185" s="237" t="n"/>
      <c r="BW185" s="237" t="n"/>
      <c r="BX185" s="237" t="n"/>
      <c r="BY185" s="237" t="n"/>
      <c r="BZ185" s="237" t="n"/>
      <c r="CA185" s="237" t="n"/>
      <c r="CB185" s="237" t="n"/>
      <c r="CC185" s="237" t="n"/>
      <c r="CD185" s="237" t="n"/>
      <c r="CE185" s="237" t="n"/>
      <c r="CF185" s="237" t="n"/>
      <c r="CG185" s="237" t="n"/>
      <c r="CH185" s="237" t="n"/>
      <c r="CI185" s="237" t="n"/>
    </row>
    <row r="186" ht="14" customHeight="1">
      <c r="A186" s="237" t="n"/>
      <c r="B186" s="237" t="n"/>
      <c r="C186" s="237" t="n"/>
      <c r="E186" s="239" t="n"/>
      <c r="F186" s="237" t="n"/>
      <c r="G186" s="237" t="n"/>
      <c r="H186" s="237" t="n"/>
      <c r="I186" s="237" t="n"/>
      <c r="J186" s="237" t="n"/>
      <c r="K186" s="237" t="n"/>
      <c r="L186" s="237" t="n"/>
      <c r="M186" s="237" t="n"/>
      <c r="N186" s="237" t="n"/>
      <c r="O186" s="237" t="n"/>
      <c r="P186" s="237" t="n"/>
      <c r="Q186" s="237" t="n"/>
      <c r="R186" s="237" t="n"/>
      <c r="S186" s="237" t="n"/>
      <c r="T186" s="237" t="n"/>
      <c r="U186" s="237" t="n"/>
      <c r="V186" s="237" t="n"/>
      <c r="W186" s="237" t="n"/>
      <c r="X186" s="237" t="n"/>
      <c r="Y186" s="237" t="n"/>
      <c r="Z186" s="240" t="n"/>
      <c r="AA186" s="237" t="n"/>
      <c r="AB186" s="245" t="n"/>
      <c r="AC186" s="237" t="n"/>
      <c r="AD186" s="237" t="n"/>
      <c r="AE186" s="237" t="n"/>
      <c r="AF186" s="237" t="n"/>
      <c r="AG186" s="237" t="n"/>
      <c r="AH186" s="237" t="n"/>
      <c r="AI186" s="237" t="n"/>
      <c r="AJ186" s="237" t="n"/>
      <c r="AK186" s="237" t="n"/>
      <c r="AL186" s="237" t="n"/>
      <c r="AM186" s="237" t="n"/>
      <c r="AN186" s="237" t="n"/>
      <c r="AO186" s="237" t="n"/>
      <c r="AP186" s="237" t="n"/>
      <c r="AQ186" s="237" t="n"/>
      <c r="AR186" s="237" t="n"/>
      <c r="AS186" s="237" t="n"/>
      <c r="AT186" s="237" t="n"/>
      <c r="AU186" s="237" t="n"/>
      <c r="AV186" s="237" t="n"/>
      <c r="AW186" s="237" t="n"/>
      <c r="AX186" s="237" t="n"/>
      <c r="AY186" s="237" t="n"/>
      <c r="AZ186" s="237" t="n"/>
      <c r="BA186" s="237" t="n"/>
      <c r="BB186" s="237" t="n"/>
      <c r="BC186" s="237" t="n"/>
      <c r="BD186" s="237" t="n"/>
      <c r="BE186" s="237" t="n"/>
      <c r="BF186" s="237" t="n"/>
      <c r="BG186" s="237" t="n"/>
      <c r="BH186" s="237" t="n"/>
      <c r="BI186" s="237" t="n"/>
      <c r="BJ186" s="237" t="n"/>
      <c r="BK186" s="237" t="n"/>
      <c r="BL186" s="237" t="n"/>
      <c r="BM186" s="237" t="n"/>
      <c r="BN186" s="237" t="n"/>
      <c r="BO186" s="237" t="n"/>
      <c r="BP186" s="237" t="n"/>
      <c r="BQ186" s="237" t="n"/>
      <c r="BR186" s="237" t="n"/>
      <c r="BS186" s="237" t="n"/>
      <c r="BT186" s="237" t="n"/>
      <c r="BU186" s="237" t="n"/>
      <c r="BV186" s="237" t="n"/>
      <c r="BW186" s="237" t="n"/>
      <c r="BX186" s="237" t="n"/>
      <c r="BY186" s="237" t="n"/>
      <c r="BZ186" s="237" t="n"/>
      <c r="CA186" s="237" t="n"/>
      <c r="CB186" s="237" t="n"/>
      <c r="CC186" s="237" t="n"/>
      <c r="CD186" s="237" t="n"/>
      <c r="CE186" s="237" t="n"/>
      <c r="CF186" s="237" t="n"/>
      <c r="CG186" s="237" t="n"/>
      <c r="CH186" s="237" t="n"/>
      <c r="CI186" s="237" t="n"/>
    </row>
    <row r="187" ht="14" customHeight="1">
      <c r="A187" s="237" t="n"/>
      <c r="B187" s="237" t="n"/>
      <c r="C187" s="237" t="n"/>
      <c r="E187" s="239" t="n"/>
      <c r="F187" s="237" t="n"/>
      <c r="G187" s="237" t="n"/>
      <c r="H187" s="237" t="n"/>
      <c r="I187" s="237" t="n"/>
      <c r="J187" s="237" t="n"/>
      <c r="K187" s="237" t="n"/>
      <c r="L187" s="237" t="n"/>
      <c r="M187" s="237" t="n"/>
      <c r="N187" s="237" t="n"/>
      <c r="O187" s="237" t="n"/>
      <c r="P187" s="237" t="n"/>
      <c r="Q187" s="237" t="n"/>
      <c r="R187" s="237" t="n"/>
      <c r="S187" s="237" t="n"/>
      <c r="T187" s="237" t="n"/>
      <c r="U187" s="237" t="n"/>
      <c r="V187" s="237" t="n"/>
      <c r="W187" s="237" t="n"/>
      <c r="X187" s="237" t="n"/>
      <c r="Y187" s="237" t="n"/>
      <c r="Z187" s="240" t="n"/>
      <c r="AA187" s="237" t="n"/>
      <c r="AB187" s="237" t="n"/>
      <c r="AC187" s="237" t="n"/>
      <c r="AD187" s="237" t="n"/>
      <c r="AE187" s="237" t="n"/>
      <c r="AF187" s="237" t="n"/>
      <c r="AG187" s="237" t="n"/>
      <c r="AH187" s="237" t="n"/>
      <c r="AI187" s="237" t="n"/>
      <c r="AJ187" s="237" t="n"/>
      <c r="AK187" s="237" t="n"/>
      <c r="AL187" s="237" t="n"/>
      <c r="AM187" s="237" t="n"/>
      <c r="AN187" s="237" t="n"/>
      <c r="AO187" s="237" t="n"/>
      <c r="AP187" s="237" t="n"/>
      <c r="AQ187" s="237" t="n"/>
      <c r="AR187" s="237" t="n"/>
      <c r="AS187" s="237" t="n"/>
      <c r="AT187" s="237" t="n"/>
      <c r="AU187" s="237" t="n"/>
      <c r="AV187" s="237" t="n"/>
      <c r="AW187" s="237" t="n"/>
      <c r="AX187" s="237" t="n"/>
      <c r="AY187" s="237" t="n"/>
      <c r="AZ187" s="237" t="n"/>
      <c r="BA187" s="237" t="n"/>
      <c r="BB187" s="237" t="n"/>
      <c r="BC187" s="237" t="n"/>
      <c r="BD187" s="237" t="n"/>
      <c r="BE187" s="237" t="n"/>
      <c r="BF187" s="237" t="n"/>
      <c r="BG187" s="237" t="n"/>
      <c r="BH187" s="237" t="n"/>
      <c r="BI187" s="237" t="n"/>
      <c r="BJ187" s="237" t="n"/>
      <c r="BK187" s="237" t="n"/>
      <c r="BL187" s="237" t="n"/>
      <c r="BM187" s="237" t="n"/>
      <c r="BN187" s="237" t="n"/>
      <c r="BO187" s="237" t="n"/>
      <c r="BP187" s="237" t="n"/>
      <c r="BQ187" s="237" t="n"/>
      <c r="BR187" s="237" t="n"/>
      <c r="BS187" s="237" t="n"/>
      <c r="BT187" s="237" t="n"/>
      <c r="BU187" s="237" t="n"/>
      <c r="BV187" s="237" t="n"/>
      <c r="BW187" s="237" t="n"/>
      <c r="BX187" s="237" t="n"/>
      <c r="BY187" s="237" t="n"/>
      <c r="BZ187" s="237" t="n"/>
      <c r="CA187" s="237" t="n"/>
      <c r="CB187" s="237" t="n"/>
      <c r="CC187" s="237" t="n"/>
      <c r="CD187" s="237" t="n"/>
      <c r="CE187" s="237" t="n"/>
      <c r="CF187" s="237" t="n"/>
      <c r="CG187" s="237" t="n"/>
      <c r="CH187" s="237" t="n"/>
      <c r="CI187" s="237" t="n"/>
    </row>
    <row r="188" ht="14" customHeight="1">
      <c r="A188" s="237" t="n"/>
      <c r="B188" s="237" t="n"/>
      <c r="C188" s="237" t="n"/>
      <c r="E188" s="239" t="n"/>
      <c r="F188" s="237" t="n"/>
      <c r="G188" s="237" t="n"/>
      <c r="H188" s="237" t="n"/>
      <c r="I188" s="237" t="n"/>
      <c r="J188" s="237" t="n"/>
      <c r="K188" s="237" t="n"/>
      <c r="L188" s="237" t="n"/>
      <c r="M188" s="237" t="n"/>
      <c r="N188" s="237" t="n"/>
      <c r="O188" s="237" t="n"/>
      <c r="P188" s="237" t="n"/>
      <c r="Q188" s="237" t="n"/>
      <c r="R188" s="237" t="n"/>
      <c r="S188" s="237" t="n"/>
      <c r="T188" s="237" t="n"/>
      <c r="U188" s="237" t="n"/>
      <c r="V188" s="237" t="n"/>
      <c r="W188" s="237" t="n"/>
      <c r="X188" s="237" t="n"/>
      <c r="Y188" s="237" t="n"/>
      <c r="Z188" s="240" t="n"/>
      <c r="AA188" s="237" t="n"/>
      <c r="AB188" s="237" t="n"/>
      <c r="AC188" s="237" t="n"/>
      <c r="AD188" s="237" t="n"/>
      <c r="AE188" s="237" t="n"/>
      <c r="AF188" s="237" t="n"/>
      <c r="AG188" s="237" t="n"/>
      <c r="AH188" s="237" t="n"/>
      <c r="AI188" s="237" t="n"/>
      <c r="AJ188" s="237" t="n"/>
      <c r="AK188" s="237" t="n"/>
      <c r="AL188" s="237" t="n"/>
      <c r="AM188" s="237" t="n"/>
      <c r="AN188" s="237" t="n"/>
      <c r="AO188" s="237" t="n"/>
      <c r="AP188" s="237" t="n"/>
      <c r="AQ188" s="237" t="n"/>
      <c r="AR188" s="237" t="n"/>
      <c r="AS188" s="237" t="n"/>
      <c r="AT188" s="237" t="n"/>
      <c r="AU188" s="237" t="n"/>
      <c r="AV188" s="237" t="n"/>
      <c r="AW188" s="237" t="n"/>
      <c r="AX188" s="237" t="n"/>
      <c r="AY188" s="237" t="n"/>
      <c r="AZ188" s="237" t="n"/>
      <c r="BA188" s="237" t="n"/>
      <c r="BB188" s="237" t="n"/>
      <c r="BC188" s="237" t="n"/>
      <c r="BD188" s="237" t="n"/>
      <c r="BE188" s="237" t="n"/>
      <c r="BF188" s="237" t="n"/>
      <c r="BG188" s="237" t="n"/>
      <c r="BH188" s="237" t="n"/>
      <c r="BI188" s="237" t="n"/>
      <c r="BJ188" s="237" t="n"/>
      <c r="BK188" s="237" t="n"/>
      <c r="BL188" s="237" t="n"/>
      <c r="BM188" s="237" t="n"/>
      <c r="BN188" s="237" t="n"/>
      <c r="BO188" s="237" t="n"/>
      <c r="BP188" s="237" t="n"/>
      <c r="BQ188" s="237" t="n"/>
      <c r="BR188" s="237" t="n"/>
      <c r="BS188" s="237" t="n"/>
      <c r="BT188" s="237" t="n"/>
      <c r="BU188" s="237" t="n"/>
      <c r="BV188" s="237" t="n"/>
      <c r="BW188" s="237" t="n"/>
      <c r="BX188" s="237" t="n"/>
      <c r="BY188" s="237" t="n"/>
      <c r="BZ188" s="237" t="n"/>
      <c r="CA188" s="237" t="n"/>
      <c r="CB188" s="237" t="n"/>
      <c r="CC188" s="237" t="n"/>
      <c r="CD188" s="237" t="n"/>
      <c r="CE188" s="237" t="n"/>
      <c r="CF188" s="237" t="n"/>
      <c r="CG188" s="237" t="n"/>
      <c r="CH188" s="237" t="n"/>
      <c r="CI188" s="237" t="n"/>
    </row>
    <row r="189" ht="14" customHeight="1">
      <c r="A189" s="237" t="n"/>
      <c r="B189" s="237" t="n"/>
      <c r="C189" s="237" t="n"/>
      <c r="E189" s="239" t="n"/>
      <c r="F189" s="237" t="n"/>
      <c r="G189" s="237" t="n"/>
      <c r="H189" s="237" t="n"/>
      <c r="I189" s="237" t="n"/>
      <c r="J189" s="237" t="n"/>
      <c r="K189" s="237" t="n"/>
      <c r="L189" s="237" t="n"/>
      <c r="M189" s="237" t="n"/>
      <c r="N189" s="237" t="n"/>
      <c r="O189" s="237" t="n"/>
      <c r="P189" s="237" t="n"/>
      <c r="Q189" s="237" t="n"/>
      <c r="R189" s="237" t="n"/>
      <c r="S189" s="237" t="n"/>
      <c r="T189" s="237" t="n"/>
      <c r="U189" s="237" t="n"/>
      <c r="V189" s="237" t="n"/>
      <c r="W189" s="237" t="n"/>
      <c r="X189" s="237" t="n"/>
      <c r="Y189" s="237" t="n"/>
      <c r="Z189" s="240" t="n"/>
      <c r="AA189" s="237" t="n"/>
      <c r="AB189" s="237" t="n"/>
      <c r="AC189" s="237" t="n"/>
      <c r="AD189" s="237" t="n"/>
      <c r="AE189" s="237" t="n"/>
      <c r="AF189" s="237" t="n"/>
      <c r="AG189" s="237" t="n"/>
      <c r="AH189" s="237" t="n"/>
      <c r="AI189" s="237" t="n"/>
      <c r="AJ189" s="237" t="n"/>
      <c r="AK189" s="237" t="n"/>
      <c r="AL189" s="237" t="n"/>
      <c r="AM189" s="237" t="n"/>
      <c r="AN189" s="237" t="n"/>
      <c r="AO189" s="237" t="n"/>
      <c r="AP189" s="237" t="n"/>
      <c r="AQ189" s="237" t="n"/>
      <c r="AR189" s="237" t="n"/>
      <c r="AS189" s="237" t="n"/>
      <c r="AT189" s="237" t="n"/>
      <c r="AU189" s="237" t="n"/>
      <c r="AV189" s="237" t="n"/>
      <c r="AW189" s="237" t="n"/>
      <c r="AX189" s="237" t="n"/>
      <c r="AY189" s="237" t="n"/>
      <c r="AZ189" s="237" t="n"/>
      <c r="BA189" s="237" t="n"/>
      <c r="BB189" s="237" t="n"/>
      <c r="BC189" s="237" t="n"/>
      <c r="BD189" s="237" t="n"/>
      <c r="BE189" s="237" t="n"/>
      <c r="BF189" s="237" t="n"/>
      <c r="BG189" s="237" t="n"/>
      <c r="BH189" s="237" t="n"/>
      <c r="BI189" s="237" t="n"/>
      <c r="BJ189" s="237" t="n"/>
      <c r="BK189" s="237" t="n"/>
      <c r="BL189" s="237" t="n"/>
      <c r="BM189" s="237" t="n"/>
      <c r="BN189" s="237" t="n"/>
      <c r="BO189" s="237" t="n"/>
      <c r="BP189" s="237" t="n"/>
      <c r="BQ189" s="237" t="n"/>
      <c r="BR189" s="237" t="n"/>
      <c r="BS189" s="237" t="n"/>
      <c r="BT189" s="237" t="n"/>
      <c r="BU189" s="237" t="n"/>
      <c r="BV189" s="237" t="n"/>
      <c r="BW189" s="237" t="n"/>
      <c r="BX189" s="237" t="n"/>
      <c r="BY189" s="237" t="n"/>
      <c r="BZ189" s="237" t="n"/>
      <c r="CA189" s="237" t="n"/>
      <c r="CB189" s="237" t="n"/>
      <c r="CC189" s="237" t="n"/>
      <c r="CD189" s="237" t="n"/>
      <c r="CE189" s="237" t="n"/>
      <c r="CF189" s="237" t="n"/>
      <c r="CG189" s="237" t="n"/>
      <c r="CH189" s="237" t="n"/>
      <c r="CI189" s="237" t="n"/>
    </row>
    <row r="190" ht="14" customFormat="1" customHeight="1" s="252">
      <c r="A190" s="237" t="n"/>
      <c r="B190" s="237" t="n"/>
      <c r="C190" s="237" t="n"/>
      <c r="E190" s="239" t="n"/>
      <c r="F190" s="237" t="n"/>
      <c r="G190" s="237" t="n"/>
      <c r="H190" s="237" t="n"/>
      <c r="I190" s="237" t="n"/>
      <c r="J190" s="237" t="n"/>
      <c r="K190" s="237" t="n"/>
      <c r="L190" s="237" t="n"/>
      <c r="M190" s="237" t="n"/>
      <c r="N190" s="237" t="n"/>
      <c r="O190" s="237" t="n"/>
      <c r="P190" s="237" t="n"/>
      <c r="Q190" s="237" t="n"/>
      <c r="R190" s="237" t="n"/>
      <c r="S190" s="237" t="n"/>
      <c r="T190" s="237" t="n"/>
      <c r="U190" s="237" t="n"/>
      <c r="V190" s="237" t="n"/>
      <c r="W190" s="237" t="n"/>
      <c r="X190" s="237" t="n"/>
      <c r="Y190" s="237" t="n"/>
      <c r="Z190" s="240" t="n"/>
      <c r="AA190" s="237" t="n"/>
      <c r="AB190" s="237" t="n"/>
      <c r="AC190" s="237" t="n"/>
      <c r="AD190" s="237" t="n"/>
      <c r="AE190" s="237" t="n"/>
      <c r="AF190" s="237" t="n"/>
      <c r="AG190" s="237" t="n"/>
      <c r="AH190" s="237" t="n"/>
      <c r="AI190" s="237" t="n"/>
      <c r="AJ190" s="237" t="n"/>
      <c r="AK190" s="237" t="n"/>
      <c r="AL190" s="237" t="n"/>
      <c r="AM190" s="237" t="n"/>
      <c r="AN190" s="237" t="n"/>
      <c r="AO190" s="237" t="n"/>
      <c r="AP190" s="237" t="n"/>
      <c r="AQ190" s="237" t="n"/>
      <c r="AR190" s="237" t="n"/>
      <c r="AS190" s="237" t="n"/>
      <c r="AT190" s="237" t="n"/>
      <c r="AU190" s="237" t="n"/>
      <c r="AV190" s="237" t="n"/>
      <c r="AW190" s="237" t="n"/>
      <c r="AX190" s="237" t="n"/>
      <c r="AY190" s="237" t="n"/>
      <c r="AZ190" s="237" t="n"/>
      <c r="BA190" s="237" t="n"/>
      <c r="BB190" s="237" t="n"/>
      <c r="BC190" s="237" t="n"/>
      <c r="BD190" s="237" t="n"/>
      <c r="BE190" s="237" t="n"/>
      <c r="BF190" s="237" t="n"/>
      <c r="BG190" s="237" t="n"/>
      <c r="BH190" s="237" t="n"/>
      <c r="BI190" s="237" t="n"/>
      <c r="BJ190" s="237" t="n"/>
      <c r="BK190" s="237" t="n"/>
      <c r="BL190" s="237" t="n"/>
      <c r="BM190" s="237" t="n"/>
    </row>
    <row r="191" ht="14" customFormat="1" customHeight="1" s="252">
      <c r="A191" s="237" t="n"/>
      <c r="B191" s="237" t="n"/>
      <c r="C191" s="237" t="n"/>
      <c r="E191" s="239" t="n"/>
      <c r="F191" s="237" t="n"/>
      <c r="G191" s="237" t="n"/>
      <c r="H191" s="237" t="n"/>
      <c r="I191" s="237" t="n"/>
      <c r="J191" s="237" t="n"/>
      <c r="K191" s="237" t="n"/>
      <c r="L191" s="237" t="n"/>
      <c r="M191" s="237" t="n"/>
      <c r="N191" s="237" t="n"/>
      <c r="O191" s="237" t="n"/>
      <c r="P191" s="237" t="n"/>
      <c r="Q191" s="237" t="n"/>
      <c r="R191" s="237" t="n"/>
      <c r="S191" s="237" t="n"/>
      <c r="T191" s="237" t="n"/>
      <c r="U191" s="237" t="n"/>
      <c r="V191" s="237" t="n"/>
      <c r="W191" s="237" t="n"/>
      <c r="X191" s="237" t="n"/>
      <c r="Y191" s="237" t="n"/>
      <c r="Z191" s="240" t="n"/>
      <c r="AA191" s="237" t="n"/>
      <c r="AB191" s="237" t="n"/>
      <c r="AC191" s="237" t="n"/>
      <c r="AD191" s="237" t="n"/>
      <c r="AE191" s="237" t="n"/>
      <c r="AF191" s="237" t="n"/>
      <c r="AG191" s="237" t="n"/>
      <c r="AH191" s="237" t="n"/>
      <c r="AI191" s="237" t="n"/>
      <c r="AJ191" s="237" t="n"/>
      <c r="AK191" s="237" t="n"/>
      <c r="AL191" s="237" t="n"/>
      <c r="AM191" s="237" t="n"/>
      <c r="AN191" s="237" t="n"/>
      <c r="AO191" s="237" t="n"/>
      <c r="AP191" s="237" t="n"/>
      <c r="AQ191" s="237" t="n"/>
      <c r="AR191" s="237" t="n"/>
      <c r="AS191" s="237" t="n"/>
      <c r="AT191" s="237" t="n"/>
      <c r="AU191" s="237" t="n"/>
      <c r="AV191" s="237" t="n"/>
      <c r="AW191" s="237" t="n"/>
      <c r="AX191" s="237" t="n"/>
      <c r="AY191" s="237" t="n"/>
      <c r="AZ191" s="237" t="n"/>
      <c r="BA191" s="237" t="n"/>
      <c r="BB191" s="237" t="n"/>
      <c r="BC191" s="237" t="n"/>
      <c r="BD191" s="237" t="n"/>
      <c r="BE191" s="237" t="n"/>
      <c r="BF191" s="237" t="n"/>
      <c r="BG191" s="237" t="n"/>
      <c r="BH191" s="237" t="n"/>
      <c r="BI191" s="237" t="n"/>
      <c r="BJ191" s="237" t="n"/>
      <c r="BK191" s="237" t="n"/>
      <c r="BL191" s="237" t="n"/>
      <c r="BM191" s="237" t="n"/>
    </row>
    <row r="192" ht="14" customFormat="1" customHeight="1" s="252">
      <c r="A192" s="237" t="n"/>
      <c r="B192" s="237" t="n"/>
      <c r="C192" s="237" t="n"/>
      <c r="E192" s="239" t="n"/>
      <c r="F192" s="237" t="n"/>
      <c r="G192" s="237" t="n"/>
      <c r="H192" s="237" t="n"/>
      <c r="I192" s="237" t="n"/>
      <c r="J192" s="237" t="n"/>
      <c r="K192" s="237" t="n"/>
      <c r="L192" s="237" t="n"/>
      <c r="M192" s="237" t="n"/>
      <c r="N192" s="237" t="n"/>
      <c r="O192" s="237" t="n"/>
      <c r="P192" s="237" t="n"/>
      <c r="Q192" s="237" t="n"/>
      <c r="R192" s="237" t="n"/>
      <c r="S192" s="237" t="n"/>
      <c r="T192" s="237" t="n"/>
      <c r="U192" s="237" t="n"/>
      <c r="V192" s="237" t="n"/>
      <c r="W192" s="237" t="n"/>
      <c r="X192" s="237" t="n"/>
      <c r="Y192" s="237" t="n"/>
      <c r="Z192" s="240" t="n"/>
      <c r="AA192" s="237" t="n"/>
      <c r="AB192" s="237" t="n"/>
      <c r="AC192" s="237" t="n"/>
      <c r="AD192" s="237" t="n"/>
      <c r="AE192" s="237" t="n"/>
      <c r="AF192" s="237" t="n"/>
      <c r="AG192" s="237" t="n"/>
      <c r="AH192" s="237" t="n"/>
      <c r="AI192" s="237" t="n"/>
      <c r="AJ192" s="237" t="n"/>
      <c r="AK192" s="237" t="n"/>
      <c r="AL192" s="237" t="n"/>
      <c r="AM192" s="237" t="n"/>
      <c r="AN192" s="237" t="n"/>
      <c r="AO192" s="237" t="n"/>
      <c r="AP192" s="237" t="n"/>
      <c r="AQ192" s="237" t="n"/>
      <c r="AR192" s="237" t="n"/>
      <c r="AS192" s="237" t="n"/>
      <c r="AT192" s="237" t="n"/>
      <c r="AU192" s="237" t="n"/>
      <c r="AV192" s="237" t="n"/>
      <c r="AW192" s="237" t="n"/>
      <c r="AX192" s="237" t="n"/>
      <c r="AY192" s="237" t="n"/>
      <c r="AZ192" s="237" t="n"/>
      <c r="BA192" s="237" t="n"/>
      <c r="BB192" s="237" t="n"/>
      <c r="BC192" s="237" t="n"/>
      <c r="BD192" s="237" t="n"/>
      <c r="BE192" s="237" t="n"/>
      <c r="BF192" s="237" t="n"/>
      <c r="BG192" s="237" t="n"/>
      <c r="BH192" s="237" t="n"/>
      <c r="BI192" s="237" t="n"/>
      <c r="BJ192" s="237" t="n"/>
      <c r="BK192" s="237" t="n"/>
      <c r="BL192" s="237" t="n"/>
      <c r="BM192" s="237" t="n"/>
    </row>
    <row r="193" ht="14" customFormat="1" customHeight="1" s="252">
      <c r="A193" s="237" t="n"/>
      <c r="B193" s="237" t="n"/>
      <c r="C193" s="237" t="n"/>
      <c r="E193" s="239" t="n"/>
      <c r="F193" s="237" t="n"/>
      <c r="G193" s="237" t="n"/>
      <c r="H193" s="237" t="n"/>
      <c r="I193" s="237" t="n"/>
      <c r="J193" s="237" t="n"/>
      <c r="K193" s="237" t="n"/>
      <c r="L193" s="237" t="n"/>
      <c r="M193" s="237" t="n"/>
      <c r="N193" s="237" t="n"/>
      <c r="O193" s="237" t="n"/>
      <c r="P193" s="237" t="n"/>
      <c r="Q193" s="237" t="n"/>
      <c r="R193" s="237" t="n"/>
      <c r="S193" s="237" t="n"/>
      <c r="T193" s="237" t="n"/>
      <c r="U193" s="237" t="n"/>
      <c r="V193" s="237" t="n"/>
      <c r="W193" s="237" t="n"/>
      <c r="X193" s="237" t="n"/>
      <c r="Y193" s="237" t="n"/>
      <c r="Z193" s="240" t="n"/>
      <c r="AA193" s="237" t="n"/>
      <c r="AB193" s="237" t="n"/>
      <c r="AC193" s="237" t="n"/>
      <c r="AD193" s="237" t="n"/>
      <c r="AE193" s="237" t="n"/>
      <c r="AF193" s="237" t="n"/>
      <c r="AG193" s="237" t="n"/>
      <c r="AH193" s="237" t="n"/>
      <c r="AI193" s="237" t="n"/>
      <c r="AJ193" s="237" t="n"/>
      <c r="AK193" s="237" t="n"/>
      <c r="AL193" s="237" t="n"/>
      <c r="AM193" s="237" t="n"/>
      <c r="AN193" s="237" t="n"/>
      <c r="AO193" s="237" t="n"/>
      <c r="AP193" s="237" t="n"/>
      <c r="AQ193" s="237" t="n"/>
      <c r="AR193" s="237" t="n"/>
      <c r="AS193" s="237" t="n"/>
      <c r="AT193" s="237" t="n"/>
      <c r="AU193" s="237" t="n"/>
      <c r="AV193" s="237" t="n"/>
      <c r="AW193" s="237" t="n"/>
      <c r="AX193" s="237" t="n"/>
      <c r="AY193" s="237" t="n"/>
      <c r="AZ193" s="237" t="n"/>
      <c r="BA193" s="237" t="n"/>
      <c r="BB193" s="237" t="n"/>
      <c r="BC193" s="237" t="n"/>
      <c r="BD193" s="237" t="n"/>
      <c r="BE193" s="237" t="n"/>
      <c r="BF193" s="237" t="n"/>
      <c r="BG193" s="237" t="n"/>
      <c r="BH193" s="237" t="n"/>
      <c r="BI193" s="237" t="n"/>
      <c r="BJ193" s="237" t="n"/>
      <c r="BK193" s="237" t="n"/>
      <c r="BL193" s="237" t="n"/>
      <c r="BM193" s="237" t="n"/>
    </row>
    <row r="194" ht="14" customFormat="1" customHeight="1" s="252">
      <c r="A194" s="237" t="n"/>
      <c r="B194" s="237" t="n"/>
      <c r="C194" s="237" t="n"/>
      <c r="E194" s="239" t="n"/>
      <c r="F194" s="237" t="n"/>
      <c r="G194" s="237" t="n"/>
      <c r="H194" s="237" t="n"/>
      <c r="I194" s="237" t="n"/>
      <c r="J194" s="237" t="n"/>
      <c r="K194" s="237" t="n"/>
      <c r="L194" s="237" t="n"/>
      <c r="M194" s="237" t="n"/>
      <c r="N194" s="237" t="n"/>
      <c r="O194" s="237" t="n"/>
      <c r="P194" s="237" t="n"/>
      <c r="Q194" s="237" t="n"/>
      <c r="R194" s="237" t="n"/>
      <c r="S194" s="237" t="n"/>
      <c r="T194" s="237" t="n"/>
      <c r="U194" s="237" t="n"/>
      <c r="V194" s="237" t="n"/>
      <c r="W194" s="237" t="n"/>
      <c r="X194" s="237" t="n"/>
      <c r="Y194" s="237" t="n"/>
      <c r="Z194" s="240" t="n"/>
      <c r="AA194" s="237" t="n"/>
      <c r="AB194" s="237" t="n"/>
      <c r="AC194" s="237" t="n"/>
      <c r="AD194" s="237" t="n"/>
      <c r="AE194" s="237" t="n"/>
      <c r="AF194" s="237" t="n"/>
      <c r="AG194" s="237" t="n"/>
      <c r="AH194" s="237" t="n"/>
      <c r="AI194" s="237" t="n"/>
      <c r="AJ194" s="237" t="n"/>
      <c r="AK194" s="237" t="n"/>
      <c r="AL194" s="237" t="n"/>
      <c r="AM194" s="237" t="n"/>
      <c r="AN194" s="237" t="n"/>
      <c r="AO194" s="237" t="n"/>
      <c r="AP194" s="237" t="n"/>
      <c r="AQ194" s="237" t="n"/>
      <c r="AR194" s="237" t="n"/>
      <c r="AS194" s="237" t="n"/>
      <c r="AT194" s="237" t="n"/>
      <c r="AU194" s="237" t="n"/>
      <c r="AV194" s="237" t="n"/>
      <c r="AW194" s="237" t="n"/>
      <c r="AX194" s="237" t="n"/>
      <c r="AY194" s="237" t="n"/>
      <c r="AZ194" s="237" t="n"/>
      <c r="BA194" s="237" t="n"/>
      <c r="BB194" s="237" t="n"/>
      <c r="BC194" s="237" t="n"/>
      <c r="BD194" s="237" t="n"/>
      <c r="BE194" s="237" t="n"/>
      <c r="BF194" s="237" t="n"/>
      <c r="BG194" s="237" t="n"/>
      <c r="BH194" s="237" t="n"/>
      <c r="BI194" s="237" t="n"/>
      <c r="BJ194" s="237" t="n"/>
      <c r="BK194" s="237" t="n"/>
      <c r="BL194" s="237" t="n"/>
      <c r="BM194" s="237" t="n"/>
    </row>
    <row r="195" ht="14" customFormat="1" customHeight="1" s="252">
      <c r="A195" s="237" t="n"/>
      <c r="B195" s="237" t="n"/>
      <c r="C195" s="237" t="n"/>
      <c r="E195" s="239" t="n"/>
      <c r="F195" s="237" t="n"/>
      <c r="G195" s="237" t="n"/>
      <c r="H195" s="237" t="n"/>
      <c r="I195" s="237" t="n"/>
      <c r="J195" s="237" t="n"/>
      <c r="K195" s="237" t="n"/>
      <c r="L195" s="237" t="n"/>
      <c r="M195" s="237" t="n"/>
      <c r="N195" s="237" t="n"/>
      <c r="O195" s="237" t="n"/>
      <c r="P195" s="237" t="n"/>
      <c r="Q195" s="237" t="n"/>
      <c r="R195" s="237" t="n"/>
      <c r="S195" s="237" t="n"/>
      <c r="T195" s="237" t="n"/>
      <c r="U195" s="237" t="n"/>
      <c r="V195" s="237" t="n"/>
      <c r="W195" s="237" t="n"/>
      <c r="X195" s="237" t="n"/>
      <c r="Y195" s="237" t="n"/>
      <c r="Z195" s="240" t="n"/>
      <c r="AA195" s="237" t="n"/>
      <c r="AB195" s="237" t="n"/>
      <c r="AC195" s="237" t="n"/>
      <c r="AD195" s="237" t="n"/>
      <c r="AE195" s="237" t="n"/>
      <c r="AF195" s="237" t="n"/>
      <c r="AG195" s="237" t="n"/>
      <c r="AH195" s="237" t="n"/>
      <c r="AI195" s="237" t="n"/>
      <c r="AJ195" s="237" t="n"/>
      <c r="AK195" s="237" t="n"/>
      <c r="AL195" s="237" t="n"/>
      <c r="AM195" s="237" t="n"/>
      <c r="AN195" s="237" t="n"/>
      <c r="AO195" s="237" t="n"/>
      <c r="AP195" s="237" t="n"/>
      <c r="AQ195" s="237" t="n"/>
      <c r="AR195" s="237" t="n"/>
      <c r="AS195" s="237" t="n"/>
      <c r="AT195" s="237" t="n"/>
      <c r="AU195" s="237" t="n"/>
      <c r="AV195" s="237" t="n"/>
      <c r="AW195" s="237" t="n"/>
      <c r="AX195" s="237" t="n"/>
      <c r="AY195" s="237" t="n"/>
      <c r="AZ195" s="237" t="n"/>
      <c r="BA195" s="237" t="n"/>
      <c r="BB195" s="237" t="n"/>
      <c r="BC195" s="237" t="n"/>
      <c r="BD195" s="237" t="n"/>
      <c r="BE195" s="237" t="n"/>
      <c r="BF195" s="237" t="n"/>
      <c r="BG195" s="237" t="n"/>
      <c r="BH195" s="237" t="n"/>
      <c r="BI195" s="237" t="n"/>
      <c r="BJ195" s="237" t="n"/>
      <c r="BK195" s="237" t="n"/>
      <c r="BL195" s="237" t="n"/>
      <c r="BM195" s="237" t="n"/>
    </row>
    <row r="196" ht="14" customFormat="1" customHeight="1" s="252">
      <c r="A196" s="237" t="n"/>
      <c r="B196" s="237" t="n"/>
      <c r="C196" s="237" t="n"/>
      <c r="E196" s="239" t="n"/>
      <c r="F196" s="237" t="n"/>
      <c r="G196" s="237" t="n"/>
      <c r="H196" s="237" t="n"/>
      <c r="I196" s="237" t="n"/>
      <c r="J196" s="237" t="n"/>
      <c r="K196" s="237" t="n"/>
      <c r="L196" s="237" t="n"/>
      <c r="M196" s="237" t="n"/>
      <c r="N196" s="237" t="n"/>
      <c r="O196" s="237" t="n"/>
      <c r="P196" s="237" t="n"/>
      <c r="Q196" s="237" t="n"/>
      <c r="R196" s="237" t="n"/>
      <c r="S196" s="237" t="n"/>
      <c r="T196" s="237" t="n"/>
      <c r="U196" s="237" t="n"/>
      <c r="V196" s="237" t="n"/>
      <c r="W196" s="237" t="n"/>
      <c r="X196" s="237" t="n"/>
      <c r="Y196" s="237" t="n"/>
      <c r="Z196" s="240" t="n"/>
      <c r="AA196" s="237" t="n"/>
      <c r="AB196" s="237" t="n"/>
      <c r="AC196" s="237" t="n"/>
      <c r="AD196" s="237" t="n"/>
      <c r="AE196" s="237" t="n"/>
      <c r="AF196" s="237" t="n"/>
      <c r="AG196" s="237" t="n"/>
      <c r="AH196" s="237" t="n"/>
      <c r="AI196" s="237" t="n"/>
      <c r="AJ196" s="237" t="n"/>
      <c r="AK196" s="237" t="n"/>
      <c r="AL196" s="237" t="n"/>
      <c r="AM196" s="237" t="n"/>
      <c r="AN196" s="237" t="n"/>
      <c r="AO196" s="237" t="n"/>
      <c r="AP196" s="237" t="n"/>
      <c r="AQ196" s="237" t="n"/>
      <c r="AR196" s="237" t="n"/>
      <c r="AS196" s="237" t="n"/>
      <c r="AT196" s="237" t="n"/>
      <c r="AU196" s="237" t="n"/>
      <c r="AV196" s="237" t="n"/>
      <c r="AW196" s="237" t="n"/>
      <c r="AX196" s="237" t="n"/>
      <c r="AY196" s="237" t="n"/>
      <c r="AZ196" s="237" t="n"/>
      <c r="BA196" s="237" t="n"/>
      <c r="BB196" s="237" t="n"/>
      <c r="BC196" s="237" t="n"/>
      <c r="BD196" s="237" t="n"/>
      <c r="BE196" s="237" t="n"/>
      <c r="BF196" s="237" t="n"/>
      <c r="BG196" s="237" t="n"/>
      <c r="BH196" s="237" t="n"/>
      <c r="BI196" s="237" t="n"/>
      <c r="BJ196" s="237" t="n"/>
      <c r="BK196" s="237" t="n"/>
      <c r="BL196" s="237" t="n"/>
      <c r="BM196" s="237" t="n"/>
    </row>
    <row r="197" ht="14" customFormat="1" customHeight="1" s="252">
      <c r="A197" s="237" t="n"/>
      <c r="B197" s="237" t="n"/>
      <c r="C197" s="237" t="n"/>
      <c r="E197" s="239" t="n"/>
      <c r="F197" s="237" t="n"/>
      <c r="G197" s="237" t="n"/>
      <c r="H197" s="237" t="n"/>
      <c r="I197" s="237" t="n"/>
      <c r="J197" s="237" t="n"/>
      <c r="K197" s="237" t="n"/>
      <c r="L197" s="237" t="n"/>
      <c r="M197" s="237" t="n"/>
      <c r="N197" s="237" t="n"/>
      <c r="O197" s="237" t="n"/>
      <c r="P197" s="237" t="n"/>
      <c r="Q197" s="237" t="n"/>
      <c r="R197" s="237" t="n"/>
      <c r="S197" s="237" t="n"/>
      <c r="T197" s="237" t="n"/>
      <c r="U197" s="237" t="n"/>
      <c r="V197" s="237" t="n"/>
      <c r="W197" s="237" t="n"/>
      <c r="X197" s="237" t="n"/>
      <c r="Y197" s="237" t="n"/>
      <c r="Z197" s="240" t="n"/>
      <c r="AA197" s="237" t="n"/>
      <c r="AB197" s="237" t="n"/>
      <c r="AC197" s="237" t="n"/>
      <c r="AD197" s="237" t="n"/>
      <c r="AE197" s="237" t="n"/>
      <c r="AF197" s="237" t="n"/>
      <c r="AG197" s="237" t="n"/>
      <c r="AH197" s="237" t="n"/>
      <c r="AI197" s="237" t="n"/>
      <c r="AJ197" s="237" t="n"/>
      <c r="AK197" s="237" t="n"/>
      <c r="AL197" s="237" t="n"/>
      <c r="AM197" s="237" t="n"/>
      <c r="AN197" s="237" t="n"/>
      <c r="AO197" s="237" t="n"/>
      <c r="AP197" s="237" t="n"/>
      <c r="AQ197" s="237" t="n"/>
      <c r="AR197" s="237" t="n"/>
      <c r="AS197" s="237" t="n"/>
      <c r="AT197" s="237" t="n"/>
      <c r="AU197" s="237" t="n"/>
      <c r="AV197" s="237" t="n"/>
      <c r="AW197" s="237" t="n"/>
      <c r="AX197" s="237" t="n"/>
      <c r="AY197" s="237" t="n"/>
      <c r="AZ197" s="237" t="n"/>
      <c r="BA197" s="237" t="n"/>
      <c r="BB197" s="237" t="n"/>
      <c r="BC197" s="237" t="n"/>
      <c r="BD197" s="237" t="n"/>
      <c r="BE197" s="237" t="n"/>
      <c r="BF197" s="237" t="n"/>
      <c r="BG197" s="237" t="n"/>
      <c r="BH197" s="237" t="n"/>
      <c r="BI197" s="237" t="n"/>
      <c r="BJ197" s="237" t="n"/>
      <c r="BK197" s="237" t="n"/>
      <c r="BL197" s="237" t="n"/>
      <c r="BM197" s="237" t="n"/>
    </row>
    <row r="198" ht="14" customFormat="1" customHeight="1" s="252">
      <c r="A198" s="237" t="n"/>
      <c r="B198" s="237" t="n"/>
      <c r="C198" s="237" t="n"/>
      <c r="E198" s="239" t="n"/>
      <c r="F198" s="237" t="n"/>
      <c r="G198" s="237" t="n"/>
      <c r="H198" s="237" t="n"/>
      <c r="I198" s="237" t="n"/>
      <c r="J198" s="237" t="n"/>
      <c r="K198" s="237" t="n"/>
      <c r="L198" s="237" t="n"/>
      <c r="M198" s="237" t="n"/>
      <c r="N198" s="237" t="n"/>
      <c r="O198" s="237" t="n"/>
      <c r="P198" s="237" t="n"/>
      <c r="Q198" s="237" t="n"/>
      <c r="R198" s="237" t="n"/>
      <c r="S198" s="237" t="n"/>
      <c r="T198" s="237" t="n"/>
      <c r="U198" s="237" t="n"/>
      <c r="V198" s="237" t="n"/>
      <c r="W198" s="237" t="n"/>
      <c r="X198" s="237" t="n"/>
      <c r="Y198" s="237" t="n"/>
      <c r="Z198" s="240" t="n"/>
      <c r="AA198" s="237" t="n"/>
      <c r="AB198" s="237" t="n"/>
      <c r="AC198" s="237" t="n"/>
      <c r="AD198" s="237" t="n"/>
      <c r="AE198" s="237" t="n"/>
      <c r="AF198" s="237" t="n"/>
      <c r="AG198" s="237" t="n"/>
      <c r="AH198" s="237" t="n"/>
      <c r="AI198" s="237" t="n"/>
      <c r="AJ198" s="237" t="n"/>
      <c r="AK198" s="237" t="n"/>
      <c r="AL198" s="237" t="n"/>
      <c r="AM198" s="237" t="n"/>
      <c r="AN198" s="237" t="n"/>
      <c r="AO198" s="237" t="n"/>
      <c r="AP198" s="237" t="n"/>
      <c r="AQ198" s="237" t="n"/>
      <c r="AR198" s="237" t="n"/>
      <c r="AS198" s="237" t="n"/>
      <c r="AT198" s="237" t="n"/>
      <c r="AU198" s="237" t="n"/>
      <c r="AV198" s="237" t="n"/>
      <c r="AW198" s="237" t="n"/>
      <c r="AX198" s="237" t="n"/>
      <c r="AY198" s="237" t="n"/>
      <c r="AZ198" s="237" t="n"/>
      <c r="BA198" s="237" t="n"/>
      <c r="BB198" s="237" t="n"/>
      <c r="BC198" s="237" t="n"/>
      <c r="BD198" s="237" t="n"/>
      <c r="BE198" s="237" t="n"/>
      <c r="BF198" s="237" t="n"/>
      <c r="BG198" s="237" t="n"/>
      <c r="BH198" s="237" t="n"/>
      <c r="BI198" s="237" t="n"/>
      <c r="BJ198" s="237" t="n"/>
      <c r="BK198" s="237" t="n"/>
      <c r="BL198" s="237" t="n"/>
      <c r="BM198" s="237" t="n"/>
    </row>
    <row r="199" ht="14" customFormat="1" customHeight="1" s="252">
      <c r="A199" s="237" t="n"/>
      <c r="B199" s="237" t="n"/>
      <c r="C199" s="237" t="n"/>
      <c r="E199" s="239" t="n"/>
      <c r="F199" s="237" t="n"/>
      <c r="G199" s="237" t="n"/>
      <c r="H199" s="237" t="n"/>
      <c r="I199" s="237" t="n"/>
      <c r="J199" s="237" t="n"/>
      <c r="K199" s="237" t="n"/>
      <c r="L199" s="237" t="n"/>
      <c r="M199" s="237" t="n"/>
      <c r="N199" s="237" t="n"/>
      <c r="O199" s="237" t="n"/>
      <c r="P199" s="237" t="n"/>
      <c r="Q199" s="237" t="n"/>
      <c r="R199" s="237" t="n"/>
      <c r="S199" s="237" t="n"/>
      <c r="T199" s="237" t="n"/>
      <c r="U199" s="237" t="n"/>
      <c r="V199" s="237" t="n"/>
      <c r="W199" s="237" t="n"/>
      <c r="X199" s="237" t="n"/>
      <c r="Y199" s="237" t="n"/>
      <c r="Z199" s="240" t="n"/>
      <c r="AA199" s="237" t="n"/>
      <c r="AB199" s="237" t="n"/>
      <c r="AC199" s="237" t="n"/>
      <c r="AD199" s="237" t="n"/>
      <c r="AE199" s="237" t="n"/>
      <c r="AF199" s="237" t="n"/>
      <c r="AG199" s="237" t="n"/>
      <c r="AH199" s="237" t="n"/>
      <c r="AI199" s="237" t="n"/>
      <c r="AJ199" s="237" t="n"/>
      <c r="AK199" s="237" t="n"/>
      <c r="AL199" s="237" t="n"/>
      <c r="AM199" s="237" t="n"/>
      <c r="AN199" s="237" t="n"/>
      <c r="AO199" s="237" t="n"/>
      <c r="AP199" s="237" t="n"/>
      <c r="AQ199" s="237" t="n"/>
      <c r="AR199" s="237" t="n"/>
      <c r="AS199" s="237" t="n"/>
      <c r="AT199" s="237" t="n"/>
      <c r="AU199" s="237" t="n"/>
      <c r="AV199" s="237" t="n"/>
      <c r="AW199" s="237" t="n"/>
      <c r="AX199" s="237" t="n"/>
      <c r="AY199" s="237" t="n"/>
      <c r="AZ199" s="237" t="n"/>
      <c r="BA199" s="237" t="n"/>
      <c r="BB199" s="237" t="n"/>
      <c r="BC199" s="237" t="n"/>
      <c r="BD199" s="237" t="n"/>
      <c r="BE199" s="237" t="n"/>
      <c r="BF199" s="237" t="n"/>
      <c r="BG199" s="237" t="n"/>
      <c r="BH199" s="237" t="n"/>
      <c r="BI199" s="237" t="n"/>
      <c r="BJ199" s="237" t="n"/>
      <c r="BK199" s="237" t="n"/>
      <c r="BL199" s="237" t="n"/>
      <c r="BM199" s="237" t="n"/>
    </row>
    <row r="200" ht="14" customFormat="1" customHeight="1" s="252">
      <c r="A200" s="237" t="n"/>
      <c r="B200" s="237" t="n"/>
      <c r="C200" s="237" t="n"/>
      <c r="E200" s="239" t="n"/>
      <c r="F200" s="237" t="n"/>
      <c r="G200" s="237" t="n"/>
      <c r="H200" s="237" t="n"/>
      <c r="I200" s="237" t="n"/>
      <c r="J200" s="237" t="n"/>
      <c r="K200" s="237" t="n"/>
      <c r="L200" s="237" t="n"/>
      <c r="M200" s="237" t="n"/>
      <c r="N200" s="237" t="n"/>
      <c r="O200" s="237" t="n"/>
      <c r="P200" s="237" t="n"/>
      <c r="Q200" s="237" t="n"/>
      <c r="R200" s="237" t="n"/>
      <c r="S200" s="237" t="n"/>
      <c r="T200" s="237" t="n"/>
      <c r="U200" s="237" t="n"/>
      <c r="V200" s="237" t="n"/>
      <c r="W200" s="237" t="n"/>
      <c r="X200" s="237" t="n"/>
      <c r="Y200" s="237" t="n"/>
      <c r="Z200" s="240" t="n"/>
      <c r="AA200" s="237" t="n"/>
      <c r="AB200" s="237" t="n"/>
      <c r="AC200" s="237" t="n"/>
      <c r="AD200" s="237" t="n"/>
      <c r="AE200" s="237" t="n"/>
      <c r="AF200" s="237" t="n"/>
      <c r="AG200" s="237" t="n"/>
      <c r="AH200" s="237" t="n"/>
      <c r="AI200" s="237" t="n"/>
      <c r="AJ200" s="237" t="n"/>
      <c r="AK200" s="237" t="n"/>
      <c r="AL200" s="237" t="n"/>
      <c r="AM200" s="237" t="n"/>
      <c r="AN200" s="237" t="n"/>
      <c r="AO200" s="237" t="n"/>
      <c r="AP200" s="237" t="n"/>
      <c r="AQ200" s="237" t="n"/>
      <c r="AR200" s="237" t="n"/>
      <c r="AS200" s="237" t="n"/>
      <c r="AT200" s="237" t="n"/>
      <c r="AU200" s="237" t="n"/>
      <c r="AV200" s="237" t="n"/>
      <c r="AW200" s="237" t="n"/>
      <c r="AX200" s="237" t="n"/>
      <c r="AY200" s="237" t="n"/>
      <c r="AZ200" s="237" t="n"/>
      <c r="BA200" s="237" t="n"/>
      <c r="BB200" s="237" t="n"/>
      <c r="BC200" s="237" t="n"/>
      <c r="BD200" s="237" t="n"/>
      <c r="BE200" s="237" t="n"/>
      <c r="BF200" s="237" t="n"/>
      <c r="BG200" s="237" t="n"/>
      <c r="BH200" s="237" t="n"/>
      <c r="BI200" s="237" t="n"/>
      <c r="BJ200" s="237" t="n"/>
      <c r="BK200" s="237" t="n"/>
      <c r="BL200" s="237" t="n"/>
      <c r="BM200" s="237" t="n"/>
    </row>
    <row r="201" ht="14" customFormat="1" customHeight="1" s="252">
      <c r="A201" s="237" t="n"/>
      <c r="B201" s="237" t="n"/>
      <c r="C201" s="237" t="n"/>
      <c r="E201" s="239" t="n"/>
      <c r="F201" s="237" t="n"/>
      <c r="G201" s="237" t="n"/>
      <c r="H201" s="237" t="n"/>
      <c r="I201" s="237" t="n"/>
      <c r="J201" s="237" t="n"/>
      <c r="K201" s="237" t="n"/>
      <c r="L201" s="237" t="n"/>
      <c r="M201" s="237" t="n"/>
      <c r="N201" s="237" t="n"/>
      <c r="O201" s="237" t="n"/>
      <c r="P201" s="237" t="n"/>
      <c r="Q201" s="237" t="n"/>
      <c r="R201" s="237" t="n"/>
      <c r="S201" s="237" t="n"/>
      <c r="T201" s="237" t="n"/>
      <c r="U201" s="237" t="n"/>
      <c r="V201" s="237" t="n"/>
      <c r="W201" s="237" t="n"/>
      <c r="X201" s="237" t="n"/>
      <c r="Y201" s="237" t="n"/>
      <c r="Z201" s="240" t="n"/>
      <c r="AA201" s="237" t="n"/>
      <c r="AB201" s="242" t="n"/>
      <c r="AC201" s="237" t="n"/>
      <c r="AD201" s="237" t="n"/>
      <c r="AE201" s="237" t="n"/>
      <c r="AF201" s="237" t="n"/>
      <c r="AG201" s="237" t="n"/>
      <c r="AH201" s="237" t="n"/>
      <c r="AI201" s="237" t="n"/>
      <c r="AJ201" s="237" t="n"/>
      <c r="AK201" s="237" t="n"/>
      <c r="AL201" s="237" t="n"/>
      <c r="AM201" s="237" t="n"/>
      <c r="AN201" s="237" t="n"/>
      <c r="AO201" s="237" t="n"/>
      <c r="AP201" s="237" t="n"/>
      <c r="AQ201" s="237" t="n"/>
      <c r="AR201" s="237" t="n"/>
      <c r="AS201" s="237" t="n"/>
      <c r="AT201" s="237" t="n"/>
      <c r="AU201" s="237" t="n"/>
      <c r="AV201" s="237" t="n"/>
      <c r="AW201" s="237" t="n"/>
      <c r="AX201" s="237" t="n"/>
      <c r="AY201" s="237" t="n"/>
      <c r="AZ201" s="237" t="n"/>
      <c r="BA201" s="237" t="n"/>
      <c r="BB201" s="237" t="n"/>
      <c r="BC201" s="237" t="n"/>
      <c r="BD201" s="237" t="n"/>
      <c r="BE201" s="237" t="n"/>
      <c r="BF201" s="237" t="n"/>
      <c r="BG201" s="237" t="n"/>
      <c r="BH201" s="237" t="n"/>
      <c r="BI201" s="237" t="n"/>
      <c r="BJ201" s="237" t="n"/>
      <c r="BK201" s="237" t="n"/>
      <c r="BL201" s="237" t="n"/>
      <c r="BM201" s="237" t="n"/>
    </row>
    <row r="202" ht="14" customFormat="1" customHeight="1" s="252">
      <c r="A202" s="237" t="n"/>
      <c r="B202" s="237" t="n"/>
      <c r="C202" s="237" t="n"/>
      <c r="E202" s="239" t="n"/>
      <c r="F202" s="237" t="n"/>
      <c r="G202" s="237" t="n"/>
      <c r="H202" s="237" t="n"/>
      <c r="I202" s="237" t="n"/>
      <c r="J202" s="237" t="n"/>
      <c r="K202" s="237" t="n"/>
      <c r="L202" s="237" t="n"/>
      <c r="M202" s="237" t="n"/>
      <c r="N202" s="237" t="n"/>
      <c r="O202" s="237" t="n"/>
      <c r="P202" s="237" t="n"/>
      <c r="Q202" s="237" t="n"/>
      <c r="R202" s="237" t="n"/>
      <c r="S202" s="237" t="n"/>
      <c r="T202" s="237" t="n"/>
      <c r="U202" s="237" t="n"/>
      <c r="V202" s="237" t="n"/>
      <c r="W202" s="237" t="n"/>
      <c r="X202" s="237" t="n"/>
      <c r="Y202" s="237" t="n"/>
      <c r="Z202" s="240" t="n"/>
      <c r="AA202" s="237" t="n"/>
      <c r="AB202" s="242" t="n"/>
      <c r="AC202" s="237" t="n"/>
      <c r="AD202" s="237" t="n"/>
      <c r="AE202" s="237" t="n"/>
      <c r="AF202" s="237" t="n"/>
      <c r="AG202" s="237" t="n"/>
      <c r="AH202" s="237" t="n"/>
      <c r="AI202" s="237" t="n"/>
      <c r="AJ202" s="237" t="n"/>
      <c r="AK202" s="237" t="n"/>
      <c r="AL202" s="237" t="n"/>
      <c r="AM202" s="237" t="n"/>
      <c r="AN202" s="237" t="n"/>
      <c r="AO202" s="237" t="n"/>
      <c r="AP202" s="237" t="n"/>
      <c r="AQ202" s="237" t="n"/>
      <c r="AR202" s="237" t="n"/>
      <c r="AS202" s="237" t="n"/>
      <c r="AT202" s="237" t="n"/>
      <c r="AU202" s="237" t="n"/>
      <c r="AV202" s="237" t="n"/>
      <c r="AW202" s="237" t="n"/>
      <c r="AX202" s="237" t="n"/>
      <c r="AY202" s="237" t="n"/>
      <c r="AZ202" s="237" t="n"/>
      <c r="BA202" s="237" t="n"/>
      <c r="BB202" s="237" t="n"/>
      <c r="BC202" s="237" t="n"/>
      <c r="BD202" s="237" t="n"/>
      <c r="BE202" s="237" t="n"/>
      <c r="BF202" s="237" t="n"/>
      <c r="BG202" s="237" t="n"/>
      <c r="BH202" s="237" t="n"/>
      <c r="BI202" s="237" t="n"/>
      <c r="BJ202" s="237" t="n"/>
      <c r="BK202" s="237" t="n"/>
      <c r="BL202" s="237" t="n"/>
      <c r="BM202" s="237" t="n"/>
    </row>
    <row r="203" ht="14" customFormat="1" customHeight="1" s="252">
      <c r="A203" s="237" t="n"/>
      <c r="B203" s="237" t="n"/>
      <c r="C203" s="237" t="n"/>
      <c r="E203" s="239" t="n"/>
      <c r="F203" s="237" t="n"/>
      <c r="G203" s="237" t="n"/>
      <c r="H203" s="237" t="n"/>
      <c r="I203" s="237" t="n"/>
      <c r="J203" s="237" t="n"/>
      <c r="K203" s="237" t="n"/>
      <c r="L203" s="237" t="n"/>
      <c r="M203" s="237" t="n"/>
      <c r="N203" s="237" t="n"/>
      <c r="O203" s="237" t="n"/>
      <c r="P203" s="237" t="n"/>
      <c r="Q203" s="237" t="n"/>
      <c r="R203" s="237" t="n"/>
      <c r="S203" s="237" t="n"/>
      <c r="T203" s="237" t="n"/>
      <c r="U203" s="237" t="n"/>
      <c r="V203" s="237" t="n"/>
      <c r="W203" s="237" t="n"/>
      <c r="X203" s="237" t="n"/>
      <c r="Y203" s="237" t="n"/>
      <c r="Z203" s="240" t="n"/>
      <c r="AA203" s="237" t="n"/>
      <c r="AB203" s="242" t="n"/>
      <c r="AC203" s="237" t="n"/>
      <c r="AD203" s="237" t="n"/>
      <c r="AE203" s="237" t="n"/>
      <c r="AF203" s="237" t="n"/>
      <c r="AG203" s="237" t="n"/>
      <c r="AH203" s="237" t="n"/>
      <c r="AI203" s="237" t="n"/>
      <c r="AJ203" s="237" t="n"/>
      <c r="AK203" s="237" t="n"/>
      <c r="AL203" s="237" t="n"/>
      <c r="AM203" s="237" t="n"/>
      <c r="AN203" s="237" t="n"/>
      <c r="AO203" s="237" t="n"/>
      <c r="AP203" s="237" t="n"/>
      <c r="AQ203" s="237" t="n"/>
      <c r="AR203" s="237" t="n"/>
      <c r="AS203" s="237" t="n"/>
      <c r="AT203" s="237" t="n"/>
      <c r="AU203" s="237" t="n"/>
      <c r="AV203" s="237" t="n"/>
      <c r="AW203" s="237" t="n"/>
      <c r="AX203" s="237" t="n"/>
      <c r="AY203" s="237" t="n"/>
      <c r="AZ203" s="237" t="n"/>
      <c r="BA203" s="237" t="n"/>
      <c r="BB203" s="237" t="n"/>
      <c r="BC203" s="237" t="n"/>
      <c r="BD203" s="237" t="n"/>
      <c r="BE203" s="237" t="n"/>
      <c r="BF203" s="237" t="n"/>
      <c r="BG203" s="237" t="n"/>
      <c r="BH203" s="237" t="n"/>
      <c r="BI203" s="237" t="n"/>
      <c r="BJ203" s="237" t="n"/>
      <c r="BK203" s="237" t="n"/>
      <c r="BL203" s="237" t="n"/>
      <c r="BM203" s="237" t="n"/>
    </row>
    <row r="204" ht="14" customFormat="1" customHeight="1" s="252">
      <c r="A204" s="237" t="n"/>
      <c r="B204" s="237" t="n"/>
      <c r="C204" s="237" t="n"/>
      <c r="E204" s="239" t="n"/>
      <c r="F204" s="237" t="n"/>
      <c r="G204" s="237" t="n"/>
      <c r="H204" s="237" t="n"/>
      <c r="I204" s="237" t="n"/>
      <c r="J204" s="237" t="n"/>
      <c r="K204" s="237" t="n"/>
      <c r="L204" s="237" t="n"/>
      <c r="M204" s="237" t="n"/>
      <c r="N204" s="237" t="n"/>
      <c r="O204" s="237" t="n"/>
      <c r="P204" s="237" t="n"/>
      <c r="Q204" s="237" t="n"/>
      <c r="R204" s="237" t="n"/>
      <c r="S204" s="237" t="n"/>
      <c r="T204" s="237" t="n"/>
      <c r="U204" s="237" t="n"/>
      <c r="V204" s="237" t="n"/>
      <c r="W204" s="237" t="n"/>
      <c r="X204" s="237" t="n"/>
      <c r="Y204" s="237" t="n"/>
      <c r="Z204" s="240" t="n"/>
      <c r="AA204" s="237" t="n"/>
      <c r="AB204" s="242" t="n"/>
      <c r="AC204" s="237" t="n"/>
      <c r="AD204" s="237" t="n"/>
      <c r="AE204" s="237" t="n"/>
      <c r="AF204" s="237" t="n"/>
      <c r="AG204" s="237" t="n"/>
      <c r="AH204" s="237" t="n"/>
      <c r="AI204" s="237" t="n"/>
      <c r="AJ204" s="237" t="n"/>
      <c r="AK204" s="237" t="n"/>
      <c r="AL204" s="237" t="n"/>
      <c r="AM204" s="237" t="n"/>
      <c r="AN204" s="237" t="n"/>
      <c r="AO204" s="237" t="n"/>
      <c r="AP204" s="237" t="n"/>
      <c r="AQ204" s="237" t="n"/>
      <c r="AR204" s="237" t="n"/>
      <c r="AS204" s="237" t="n"/>
      <c r="AT204" s="237" t="n"/>
      <c r="AU204" s="237" t="n"/>
      <c r="AV204" s="237" t="n"/>
      <c r="AW204" s="237" t="n"/>
      <c r="AX204" s="237" t="n"/>
      <c r="AY204" s="237" t="n"/>
      <c r="AZ204" s="237" t="n"/>
      <c r="BA204" s="237" t="n"/>
      <c r="BB204" s="237" t="n"/>
      <c r="BC204" s="237" t="n"/>
      <c r="BD204" s="237" t="n"/>
      <c r="BE204" s="237" t="n"/>
      <c r="BF204" s="237" t="n"/>
      <c r="BG204" s="237" t="n"/>
      <c r="BH204" s="237" t="n"/>
      <c r="BI204" s="237" t="n"/>
      <c r="BJ204" s="237" t="n"/>
      <c r="BK204" s="237" t="n"/>
      <c r="BL204" s="237" t="n"/>
      <c r="BM204" s="237" t="n"/>
    </row>
    <row r="205" ht="14" customFormat="1" customHeight="1" s="252">
      <c r="A205" s="237" t="n"/>
      <c r="B205" s="237" t="n"/>
      <c r="C205" s="237" t="n"/>
      <c r="E205" s="239" t="n"/>
      <c r="F205" s="237" t="n"/>
      <c r="G205" s="237" t="n"/>
      <c r="H205" s="237" t="n"/>
      <c r="I205" s="237" t="n"/>
      <c r="J205" s="237" t="n"/>
      <c r="K205" s="237" t="n"/>
      <c r="L205" s="237" t="n"/>
      <c r="M205" s="237" t="n"/>
      <c r="N205" s="237" t="n"/>
      <c r="O205" s="237" t="n"/>
      <c r="P205" s="237" t="n"/>
      <c r="Q205" s="237" t="n"/>
      <c r="R205" s="237" t="n"/>
      <c r="S205" s="237" t="n"/>
      <c r="T205" s="237" t="n"/>
      <c r="U205" s="237" t="n"/>
      <c r="V205" s="237" t="n"/>
      <c r="W205" s="237" t="n"/>
      <c r="X205" s="237" t="n"/>
      <c r="Y205" s="237" t="n"/>
      <c r="Z205" s="240" t="n"/>
      <c r="AA205" s="237" t="n"/>
      <c r="AB205" s="242" t="n"/>
      <c r="AC205" s="237" t="n"/>
      <c r="AD205" s="237" t="n"/>
      <c r="AE205" s="237" t="n"/>
      <c r="AF205" s="237" t="n"/>
      <c r="AG205" s="237" t="n"/>
      <c r="AH205" s="237" t="n"/>
      <c r="AI205" s="237" t="n"/>
      <c r="AJ205" s="237" t="n"/>
      <c r="AK205" s="237" t="n"/>
      <c r="AL205" s="237" t="n"/>
      <c r="AM205" s="237" t="n"/>
      <c r="AN205" s="237" t="n"/>
      <c r="AO205" s="237" t="n"/>
      <c r="AP205" s="237" t="n"/>
      <c r="AQ205" s="237" t="n"/>
      <c r="AR205" s="237" t="n"/>
      <c r="AS205" s="237" t="n"/>
      <c r="AT205" s="237" t="n"/>
      <c r="AU205" s="237" t="n"/>
      <c r="AV205" s="237" t="n"/>
      <c r="AW205" s="237" t="n"/>
      <c r="AX205" s="237" t="n"/>
      <c r="AY205" s="237" t="n"/>
      <c r="AZ205" s="237" t="n"/>
      <c r="BA205" s="237" t="n"/>
      <c r="BB205" s="237" t="n"/>
      <c r="BC205" s="237" t="n"/>
      <c r="BD205" s="237" t="n"/>
      <c r="BE205" s="237" t="n"/>
      <c r="BF205" s="237" t="n"/>
      <c r="BG205" s="237" t="n"/>
      <c r="BH205" s="237" t="n"/>
      <c r="BI205" s="237" t="n"/>
      <c r="BJ205" s="237" t="n"/>
      <c r="BK205" s="237" t="n"/>
      <c r="BL205" s="237" t="n"/>
      <c r="BM205" s="237" t="n"/>
    </row>
    <row r="206" ht="14" customFormat="1" customHeight="1" s="252">
      <c r="A206" s="237" t="n"/>
      <c r="B206" s="237" t="n"/>
      <c r="C206" s="237" t="n"/>
      <c r="E206" s="239" t="n"/>
      <c r="F206" s="237" t="n"/>
      <c r="G206" s="237" t="n"/>
      <c r="H206" s="237" t="n"/>
      <c r="I206" s="237" t="n"/>
      <c r="J206" s="237" t="n"/>
      <c r="K206" s="237" t="n"/>
      <c r="L206" s="237" t="n"/>
      <c r="M206" s="237" t="n"/>
      <c r="N206" s="237" t="n"/>
      <c r="O206" s="237" t="n"/>
      <c r="P206" s="237" t="n"/>
      <c r="Q206" s="237" t="n"/>
      <c r="R206" s="237" t="n"/>
      <c r="S206" s="237" t="n"/>
      <c r="T206" s="237" t="n"/>
      <c r="U206" s="237" t="n"/>
      <c r="V206" s="237" t="n"/>
      <c r="W206" s="237" t="n"/>
      <c r="X206" s="237" t="n"/>
      <c r="Y206" s="237" t="n"/>
      <c r="Z206" s="240" t="n"/>
      <c r="AA206" s="237" t="n"/>
      <c r="AB206" s="242" t="n"/>
      <c r="AC206" s="237" t="n"/>
      <c r="AD206" s="237" t="n"/>
      <c r="AE206" s="237" t="n"/>
      <c r="AF206" s="237" t="n"/>
      <c r="AG206" s="237" t="n"/>
      <c r="AH206" s="237" t="n"/>
      <c r="AI206" s="237" t="n"/>
      <c r="AJ206" s="237" t="n"/>
      <c r="AK206" s="237" t="n"/>
      <c r="AL206" s="237" t="n"/>
      <c r="AM206" s="237" t="n"/>
      <c r="AN206" s="237" t="n"/>
      <c r="AO206" s="237" t="n"/>
      <c r="AP206" s="237" t="n"/>
      <c r="AQ206" s="237" t="n"/>
      <c r="AR206" s="237" t="n"/>
      <c r="AS206" s="237" t="n"/>
      <c r="AT206" s="237" t="n"/>
      <c r="AU206" s="237" t="n"/>
      <c r="AV206" s="237" t="n"/>
      <c r="AW206" s="237" t="n"/>
      <c r="AX206" s="237" t="n"/>
      <c r="AY206" s="237" t="n"/>
      <c r="AZ206" s="237" t="n"/>
      <c r="BA206" s="237" t="n"/>
      <c r="BB206" s="237" t="n"/>
      <c r="BC206" s="237" t="n"/>
      <c r="BD206" s="237" t="n"/>
      <c r="BE206" s="237" t="n"/>
      <c r="BF206" s="237" t="n"/>
      <c r="BG206" s="237" t="n"/>
      <c r="BH206" s="237" t="n"/>
      <c r="BI206" s="237" t="n"/>
      <c r="BJ206" s="237" t="n"/>
      <c r="BK206" s="237" t="n"/>
      <c r="BL206" s="237" t="n"/>
      <c r="BM206" s="237" t="n"/>
    </row>
    <row r="207" ht="14" customFormat="1" customHeight="1" s="252">
      <c r="A207" s="237" t="n"/>
      <c r="B207" s="237" t="n"/>
      <c r="C207" s="237" t="n"/>
      <c r="E207" s="239" t="n"/>
      <c r="F207" s="237" t="n"/>
      <c r="G207" s="237" t="n"/>
      <c r="H207" s="237" t="n"/>
      <c r="I207" s="237" t="n"/>
      <c r="J207" s="237" t="n"/>
      <c r="K207" s="237" t="n"/>
      <c r="L207" s="237" t="n"/>
      <c r="M207" s="237" t="n"/>
      <c r="N207" s="237" t="n"/>
      <c r="O207" s="237" t="n"/>
      <c r="P207" s="237" t="n"/>
      <c r="Q207" s="237" t="n"/>
      <c r="R207" s="237" t="n"/>
      <c r="S207" s="237" t="n"/>
      <c r="T207" s="237" t="n"/>
      <c r="U207" s="237" t="n"/>
      <c r="V207" s="237" t="n"/>
      <c r="W207" s="237" t="n"/>
      <c r="X207" s="237" t="n"/>
      <c r="Y207" s="237" t="n"/>
      <c r="Z207" s="240" t="n"/>
      <c r="AA207" s="237" t="n"/>
      <c r="AB207" s="242" t="n"/>
      <c r="AC207" s="237" t="n"/>
      <c r="AD207" s="237" t="n"/>
      <c r="AE207" s="237" t="n"/>
      <c r="AF207" s="237" t="n"/>
      <c r="AG207" s="237" t="n"/>
      <c r="AH207" s="237" t="n"/>
      <c r="AI207" s="237" t="n"/>
      <c r="AJ207" s="237" t="n"/>
      <c r="AK207" s="237" t="n"/>
      <c r="AL207" s="237" t="n"/>
      <c r="AM207" s="237" t="n"/>
      <c r="AN207" s="237" t="n"/>
      <c r="AO207" s="237" t="n"/>
      <c r="AP207" s="237" t="n"/>
      <c r="AQ207" s="237" t="n"/>
      <c r="AR207" s="237" t="n"/>
      <c r="AS207" s="237" t="n"/>
    </row>
    <row r="208" ht="14" customFormat="1" customHeight="1" s="252">
      <c r="A208" s="237" t="n"/>
      <c r="B208" s="237" t="n"/>
      <c r="C208" s="237" t="n"/>
      <c r="E208" s="239" t="n"/>
      <c r="F208" s="237" t="n"/>
      <c r="G208" s="237" t="n"/>
      <c r="H208" s="237" t="n"/>
      <c r="I208" s="237" t="n"/>
      <c r="J208" s="237" t="n"/>
      <c r="K208" s="237" t="n"/>
      <c r="L208" s="237" t="n"/>
      <c r="M208" s="237" t="n"/>
      <c r="N208" s="237" t="n"/>
      <c r="O208" s="237" t="n"/>
      <c r="P208" s="237" t="n"/>
      <c r="Q208" s="237" t="n"/>
      <c r="R208" s="237" t="n"/>
      <c r="S208" s="237" t="n"/>
      <c r="T208" s="237" t="n"/>
      <c r="U208" s="237" t="n"/>
      <c r="V208" s="237" t="n"/>
      <c r="W208" s="237" t="n"/>
      <c r="X208" s="237" t="n"/>
      <c r="Y208" s="237" t="n"/>
      <c r="Z208" s="240" t="n"/>
      <c r="AA208" s="237" t="n"/>
      <c r="AB208" s="242" t="n"/>
      <c r="AC208" s="237" t="n"/>
      <c r="AD208" s="237" t="n"/>
      <c r="AE208" s="237" t="n"/>
      <c r="AF208" s="237" t="n"/>
      <c r="AG208" s="237" t="n"/>
      <c r="AH208" s="237" t="n"/>
      <c r="AI208" s="237" t="n"/>
      <c r="AJ208" s="237" t="n"/>
      <c r="AK208" s="237" t="n"/>
      <c r="AL208" s="237" t="n"/>
      <c r="AM208" s="237" t="n"/>
      <c r="AN208" s="237" t="n"/>
      <c r="AO208" s="237" t="n"/>
      <c r="AP208" s="237" t="n"/>
      <c r="AQ208" s="237" t="n"/>
      <c r="AR208" s="237" t="n"/>
      <c r="AS208" s="237" t="n"/>
    </row>
    <row r="209" ht="14" customFormat="1" customHeight="1" s="252">
      <c r="A209" s="237" t="n"/>
      <c r="B209" s="237" t="n"/>
      <c r="C209" s="237" t="n"/>
      <c r="E209" s="239" t="n"/>
      <c r="F209" s="237" t="n"/>
      <c r="G209" s="237" t="n"/>
      <c r="H209" s="237" t="n"/>
      <c r="I209" s="237" t="n"/>
      <c r="J209" s="237" t="n"/>
      <c r="K209" s="237" t="n"/>
      <c r="L209" s="237" t="n"/>
      <c r="M209" s="237" t="n"/>
      <c r="N209" s="237" t="n"/>
      <c r="O209" s="237" t="n"/>
      <c r="P209" s="237" t="n"/>
      <c r="Q209" s="237" t="n"/>
      <c r="R209" s="237" t="n"/>
      <c r="S209" s="237" t="n"/>
      <c r="T209" s="237" t="n"/>
      <c r="U209" s="237" t="n"/>
      <c r="V209" s="237" t="n"/>
      <c r="W209" s="237" t="n"/>
      <c r="X209" s="237" t="n"/>
      <c r="Y209" s="237" t="n"/>
      <c r="Z209" s="240" t="n"/>
      <c r="AA209" s="237" t="n"/>
      <c r="AB209" s="242" t="n"/>
      <c r="AC209" s="237" t="n"/>
      <c r="AD209" s="237" t="n"/>
      <c r="AE209" s="237" t="n"/>
      <c r="AF209" s="237" t="n"/>
      <c r="AG209" s="237" t="n"/>
      <c r="AH209" s="237" t="n"/>
      <c r="AI209" s="237" t="n"/>
      <c r="AJ209" s="237" t="n"/>
      <c r="AK209" s="237" t="n"/>
      <c r="AL209" s="237" t="n"/>
      <c r="AM209" s="237" t="n"/>
      <c r="AN209" s="237" t="n"/>
      <c r="AO209" s="237" t="n"/>
      <c r="AP209" s="237" t="n"/>
      <c r="AQ209" s="237" t="n"/>
      <c r="AR209" s="237" t="n"/>
      <c r="AS209" s="237" t="n"/>
    </row>
    <row r="210" ht="14" customFormat="1" customHeight="1" s="252">
      <c r="A210" s="237" t="n"/>
      <c r="B210" s="237" t="n"/>
      <c r="C210" s="237" t="n"/>
      <c r="E210" s="239" t="n"/>
      <c r="F210" s="237" t="n"/>
      <c r="G210" s="237" t="n"/>
      <c r="H210" s="237" t="n"/>
      <c r="I210" s="237" t="n"/>
      <c r="J210" s="237" t="n"/>
      <c r="K210" s="237" t="n"/>
      <c r="L210" s="237" t="n"/>
      <c r="M210" s="237" t="n"/>
      <c r="N210" s="237" t="n"/>
      <c r="O210" s="237" t="n"/>
      <c r="P210" s="237" t="n"/>
      <c r="Q210" s="237" t="n"/>
      <c r="R210" s="237" t="n"/>
      <c r="S210" s="237" t="n"/>
      <c r="T210" s="237" t="n"/>
      <c r="U210" s="237" t="n"/>
      <c r="V210" s="237" t="n"/>
      <c r="W210" s="237" t="n"/>
      <c r="X210" s="237" t="n"/>
      <c r="Y210" s="237" t="n"/>
      <c r="Z210" s="240" t="n"/>
      <c r="AA210" s="237" t="n"/>
      <c r="AB210" s="242" t="n"/>
      <c r="AC210" s="237" t="n"/>
      <c r="AD210" s="237" t="n"/>
      <c r="AE210" s="237" t="n"/>
      <c r="AF210" s="237" t="n"/>
      <c r="AG210" s="237" t="n"/>
      <c r="AH210" s="237" t="n"/>
      <c r="AI210" s="237" t="n"/>
      <c r="AJ210" s="237" t="n"/>
      <c r="AK210" s="237" t="n"/>
      <c r="AL210" s="237" t="n"/>
      <c r="AM210" s="237" t="n"/>
      <c r="AN210" s="237" t="n"/>
      <c r="AO210" s="237" t="n"/>
      <c r="AP210" s="237" t="n"/>
      <c r="AQ210" s="237" t="n"/>
      <c r="AR210" s="237" t="n"/>
      <c r="AS210" s="237" t="n"/>
    </row>
    <row r="211" ht="14" customFormat="1" customHeight="1" s="252">
      <c r="A211" s="237" t="n"/>
      <c r="B211" s="237" t="n"/>
      <c r="C211" s="237" t="n"/>
      <c r="E211" s="239" t="n"/>
      <c r="F211" s="237" t="n"/>
      <c r="G211" s="237" t="n"/>
      <c r="H211" s="237" t="n"/>
      <c r="I211" s="237" t="n"/>
      <c r="J211" s="237" t="n"/>
      <c r="K211" s="237" t="n"/>
      <c r="L211" s="237" t="n"/>
      <c r="M211" s="237" t="n"/>
      <c r="N211" s="237" t="n"/>
      <c r="O211" s="237" t="n"/>
      <c r="P211" s="237" t="n"/>
      <c r="Q211" s="237" t="n"/>
      <c r="R211" s="237" t="n"/>
      <c r="S211" s="237" t="n"/>
      <c r="T211" s="237" t="n"/>
      <c r="U211" s="237" t="n"/>
      <c r="V211" s="237" t="n"/>
      <c r="W211" s="237" t="n"/>
      <c r="X211" s="237" t="n"/>
      <c r="Y211" s="237" t="n"/>
      <c r="Z211" s="240" t="n"/>
      <c r="AA211" s="237" t="n"/>
      <c r="AB211" s="242" t="n"/>
      <c r="AC211" s="237" t="n"/>
      <c r="AD211" s="237" t="n"/>
      <c r="AE211" s="237" t="n"/>
      <c r="AF211" s="237" t="n"/>
      <c r="AG211" s="237" t="n"/>
      <c r="AH211" s="237" t="n"/>
      <c r="AI211" s="237" t="n"/>
      <c r="AJ211" s="237" t="n"/>
      <c r="AK211" s="237" t="n"/>
      <c r="AL211" s="237" t="n"/>
      <c r="AM211" s="237" t="n"/>
      <c r="AN211" s="237" t="n"/>
      <c r="AO211" s="237" t="n"/>
      <c r="AP211" s="237" t="n"/>
      <c r="AQ211" s="237" t="n"/>
      <c r="AR211" s="237" t="n"/>
      <c r="AS211" s="237" t="n"/>
    </row>
    <row r="212" ht="14" customFormat="1" customHeight="1" s="252">
      <c r="A212" s="237" t="n"/>
      <c r="B212" s="237" t="n"/>
      <c r="C212" s="237" t="n"/>
      <c r="E212" s="239" t="n"/>
      <c r="F212" s="237" t="n"/>
      <c r="G212" s="237" t="n"/>
      <c r="H212" s="237" t="n"/>
      <c r="I212" s="237" t="n"/>
      <c r="J212" s="237" t="n"/>
      <c r="K212" s="237" t="n"/>
      <c r="L212" s="237" t="n"/>
      <c r="M212" s="237" t="n"/>
      <c r="N212" s="237" t="n"/>
      <c r="O212" s="237" t="n"/>
      <c r="P212" s="237" t="n"/>
      <c r="Q212" s="237" t="n"/>
      <c r="R212" s="237" t="n"/>
      <c r="S212" s="237" t="n"/>
      <c r="T212" s="237" t="n"/>
      <c r="U212" s="237" t="n"/>
      <c r="V212" s="237" t="n"/>
      <c r="W212" s="237" t="n"/>
      <c r="X212" s="237" t="n"/>
      <c r="Y212" s="237" t="n"/>
      <c r="Z212" s="240" t="n"/>
      <c r="AA212" s="237" t="n"/>
      <c r="AB212" s="242" t="n"/>
      <c r="AC212" s="237" t="n"/>
      <c r="AD212" s="237" t="n"/>
      <c r="AE212" s="237" t="n"/>
      <c r="AF212" s="237" t="n"/>
      <c r="AG212" s="237" t="n"/>
      <c r="AH212" s="237" t="n"/>
      <c r="AI212" s="237" t="n"/>
      <c r="AJ212" s="237" t="n"/>
      <c r="AK212" s="237" t="n"/>
      <c r="AL212" s="237" t="n"/>
      <c r="AM212" s="237" t="n"/>
      <c r="AN212" s="237" t="n"/>
      <c r="AO212" s="237" t="n"/>
      <c r="AP212" s="237" t="n"/>
      <c r="AQ212" s="237" t="n"/>
      <c r="AR212" s="237" t="n"/>
      <c r="AS212" s="237" t="n"/>
    </row>
    <row r="213" ht="14" customFormat="1" customHeight="1" s="252">
      <c r="A213" s="237" t="n"/>
      <c r="B213" s="237" t="n"/>
      <c r="C213" s="237" t="n"/>
      <c r="E213" s="239" t="n"/>
      <c r="F213" s="237" t="n"/>
      <c r="G213" s="237" t="n"/>
      <c r="H213" s="237" t="n"/>
      <c r="I213" s="237" t="n"/>
      <c r="J213" s="237" t="n"/>
      <c r="K213" s="237" t="n"/>
      <c r="L213" s="237" t="n"/>
      <c r="M213" s="237" t="n"/>
      <c r="N213" s="237" t="n"/>
      <c r="O213" s="237" t="n"/>
      <c r="P213" s="237" t="n"/>
      <c r="Q213" s="237" t="n"/>
      <c r="R213" s="237" t="n"/>
      <c r="S213" s="237" t="n"/>
      <c r="T213" s="237" t="n"/>
      <c r="U213" s="237" t="n"/>
      <c r="V213" s="237" t="n"/>
      <c r="W213" s="237" t="n"/>
      <c r="X213" s="237" t="n"/>
      <c r="Y213" s="237" t="n"/>
      <c r="Z213" s="240" t="n"/>
      <c r="AA213" s="237" t="n"/>
      <c r="AB213" s="242" t="n"/>
      <c r="AC213" s="237" t="n"/>
      <c r="AD213" s="237" t="n"/>
      <c r="AE213" s="237" t="n"/>
      <c r="AF213" s="237" t="n"/>
      <c r="AG213" s="237" t="n"/>
      <c r="AH213" s="237" t="n"/>
      <c r="AI213" s="237" t="n"/>
      <c r="AJ213" s="237" t="n"/>
      <c r="AK213" s="237" t="n"/>
      <c r="AL213" s="237" t="n"/>
      <c r="AM213" s="237" t="n"/>
      <c r="AN213" s="237" t="n"/>
      <c r="AO213" s="237" t="n"/>
      <c r="AP213" s="237" t="n"/>
      <c r="AQ213" s="237" t="n"/>
      <c r="AR213" s="237" t="n"/>
      <c r="AS213" s="237" t="n"/>
    </row>
    <row r="214" ht="14" customFormat="1" customHeight="1" s="252">
      <c r="A214" s="237" t="n"/>
      <c r="B214" s="237" t="n"/>
      <c r="C214" s="237" t="n"/>
      <c r="E214" s="239" t="n"/>
      <c r="F214" s="237" t="n"/>
      <c r="G214" s="237" t="n"/>
      <c r="H214" s="237" t="n"/>
      <c r="I214" s="237" t="n"/>
      <c r="J214" s="237" t="n"/>
      <c r="K214" s="237" t="n"/>
      <c r="L214" s="237" t="n"/>
      <c r="M214" s="237" t="n"/>
      <c r="N214" s="237" t="n"/>
      <c r="O214" s="237" t="n"/>
      <c r="P214" s="237" t="n"/>
      <c r="Q214" s="237" t="n"/>
      <c r="R214" s="237" t="n"/>
      <c r="S214" s="237" t="n"/>
      <c r="T214" s="237" t="n"/>
      <c r="U214" s="237" t="n"/>
      <c r="V214" s="237" t="n"/>
      <c r="W214" s="237" t="n"/>
      <c r="X214" s="237" t="n"/>
      <c r="Y214" s="237" t="n"/>
      <c r="Z214" s="240" t="n"/>
      <c r="AA214" s="237" t="n"/>
      <c r="AB214" s="242" t="n"/>
      <c r="AC214" s="237" t="n"/>
      <c r="AD214" s="237" t="n"/>
      <c r="AE214" s="237" t="n"/>
      <c r="AF214" s="237" t="n"/>
      <c r="AG214" s="237" t="n"/>
      <c r="AH214" s="237" t="n"/>
      <c r="AI214" s="237" t="n"/>
      <c r="AJ214" s="237" t="n"/>
      <c r="AK214" s="237" t="n"/>
      <c r="AL214" s="237" t="n"/>
      <c r="AM214" s="237" t="n"/>
      <c r="AN214" s="237" t="n"/>
      <c r="AO214" s="237" t="n"/>
      <c r="AP214" s="237" t="n"/>
      <c r="AQ214" s="237" t="n"/>
      <c r="AR214" s="237" t="n"/>
      <c r="AS214" s="237" t="n"/>
    </row>
    <row r="215" ht="14" customFormat="1" customHeight="1" s="252">
      <c r="A215" s="237" t="n"/>
      <c r="B215" s="237" t="n"/>
      <c r="C215" s="237" t="n"/>
      <c r="E215" s="239" t="n"/>
      <c r="F215" s="237" t="n"/>
      <c r="G215" s="237" t="n"/>
      <c r="H215" s="237" t="n"/>
      <c r="I215" s="237" t="n"/>
      <c r="J215" s="237" t="n"/>
      <c r="K215" s="237" t="n"/>
      <c r="L215" s="237" t="n"/>
      <c r="M215" s="237" t="n"/>
      <c r="N215" s="237" t="n"/>
      <c r="O215" s="237" t="n"/>
      <c r="P215" s="237" t="n"/>
      <c r="Q215" s="237" t="n"/>
      <c r="R215" s="237" t="n"/>
      <c r="S215" s="237" t="n"/>
      <c r="T215" s="237" t="n"/>
      <c r="U215" s="237" t="n"/>
      <c r="V215" s="237" t="n"/>
      <c r="W215" s="237" t="n"/>
      <c r="X215" s="237" t="n"/>
      <c r="Y215" s="237" t="n"/>
      <c r="Z215" s="240" t="n"/>
      <c r="AA215" s="237" t="n"/>
      <c r="AB215" s="242" t="n"/>
      <c r="AC215" s="237" t="n"/>
      <c r="AD215" s="237" t="n"/>
      <c r="AE215" s="237" t="n"/>
      <c r="AF215" s="237" t="n"/>
      <c r="AG215" s="237" t="n"/>
      <c r="AH215" s="237" t="n"/>
      <c r="AI215" s="237" t="n"/>
      <c r="AJ215" s="237" t="n"/>
      <c r="AK215" s="237" t="n"/>
      <c r="AL215" s="237" t="n"/>
      <c r="AM215" s="237" t="n"/>
      <c r="AN215" s="237" t="n"/>
      <c r="AO215" s="237" t="n"/>
      <c r="AP215" s="237" t="n"/>
      <c r="AQ215" s="237" t="n"/>
      <c r="AR215" s="237" t="n"/>
      <c r="AS215" s="237" t="n"/>
    </row>
    <row r="216" ht="14" customFormat="1" customHeight="1" s="252">
      <c r="A216" s="237" t="n"/>
      <c r="B216" s="237" t="n"/>
      <c r="C216" s="237" t="n"/>
      <c r="E216" s="239" t="n"/>
      <c r="F216" s="237" t="n"/>
      <c r="G216" s="237" t="n"/>
      <c r="H216" s="237" t="n"/>
      <c r="I216" s="237" t="n"/>
      <c r="J216" s="237" t="n"/>
      <c r="K216" s="237" t="n"/>
      <c r="L216" s="237" t="n"/>
      <c r="M216" s="237" t="n"/>
      <c r="N216" s="237" t="n"/>
      <c r="O216" s="237" t="n"/>
      <c r="P216" s="237" t="n"/>
      <c r="Q216" s="237" t="n"/>
      <c r="R216" s="237" t="n"/>
      <c r="S216" s="237" t="n"/>
      <c r="T216" s="237" t="n"/>
      <c r="U216" s="237" t="n"/>
      <c r="V216" s="237" t="n"/>
      <c r="W216" s="237" t="n"/>
      <c r="X216" s="237" t="n"/>
      <c r="Y216" s="237" t="n"/>
      <c r="Z216" s="240" t="n"/>
      <c r="AA216" s="237" t="n"/>
      <c r="AB216" s="242" t="n"/>
      <c r="AC216" s="237" t="n"/>
      <c r="AD216" s="237" t="n"/>
      <c r="AE216" s="237" t="n"/>
      <c r="AF216" s="237" t="n"/>
      <c r="AG216" s="237" t="n"/>
      <c r="AH216" s="237" t="n"/>
      <c r="AI216" s="237" t="n"/>
      <c r="AJ216" s="237" t="n"/>
      <c r="AK216" s="237" t="n"/>
      <c r="AL216" s="237" t="n"/>
      <c r="AM216" s="237" t="n"/>
      <c r="AN216" s="237" t="n"/>
      <c r="AO216" s="237" t="n"/>
      <c r="AP216" s="237" t="n"/>
      <c r="AQ216" s="237" t="n"/>
      <c r="AR216" s="237" t="n"/>
      <c r="AS216" s="237" t="n"/>
    </row>
    <row r="217" ht="14" customFormat="1" customHeight="1" s="252">
      <c r="A217" s="237" t="n"/>
      <c r="B217" s="237" t="n"/>
      <c r="C217" s="237" t="n"/>
      <c r="E217" s="239" t="n"/>
      <c r="F217" s="237" t="n"/>
      <c r="G217" s="237" t="n"/>
      <c r="H217" s="237" t="n"/>
      <c r="I217" s="237" t="n"/>
      <c r="J217" s="237" t="n"/>
      <c r="K217" s="237" t="n"/>
      <c r="L217" s="237" t="n"/>
      <c r="M217" s="237" t="n"/>
      <c r="N217" s="237" t="n"/>
      <c r="O217" s="237" t="n"/>
      <c r="P217" s="237" t="n"/>
      <c r="Q217" s="237" t="n"/>
      <c r="R217" s="237" t="n"/>
      <c r="S217" s="237" t="n"/>
      <c r="T217" s="237" t="n"/>
      <c r="U217" s="237" t="n"/>
      <c r="V217" s="237" t="n"/>
      <c r="W217" s="237" t="n"/>
      <c r="X217" s="237" t="n"/>
      <c r="Y217" s="237" t="n"/>
      <c r="Z217" s="240" t="n"/>
      <c r="AA217" s="237" t="n"/>
      <c r="AB217" s="242" t="n"/>
      <c r="AC217" s="237" t="n"/>
      <c r="AD217" s="237" t="n"/>
      <c r="AE217" s="237" t="n"/>
      <c r="AF217" s="237" t="n"/>
      <c r="AG217" s="237" t="n"/>
      <c r="AH217" s="237" t="n"/>
      <c r="AI217" s="237" t="n"/>
      <c r="AJ217" s="237" t="n"/>
      <c r="AK217" s="237" t="n"/>
      <c r="AL217" s="237" t="n"/>
      <c r="AM217" s="237" t="n"/>
      <c r="AN217" s="237" t="n"/>
      <c r="AO217" s="237" t="n"/>
      <c r="AP217" s="237" t="n"/>
      <c r="AQ217" s="237" t="n"/>
      <c r="AR217" s="237" t="n"/>
      <c r="AS217" s="237" t="n"/>
    </row>
    <row r="218" ht="14" customFormat="1" customHeight="1" s="252">
      <c r="A218" s="237" t="n"/>
      <c r="B218" s="237" t="n"/>
      <c r="C218" s="237" t="n"/>
      <c r="E218" s="239" t="n"/>
      <c r="F218" s="237" t="n"/>
      <c r="G218" s="237" t="n"/>
      <c r="H218" s="237" t="n"/>
      <c r="I218" s="237" t="n"/>
      <c r="J218" s="237" t="n"/>
      <c r="K218" s="237" t="n"/>
      <c r="L218" s="237" t="n"/>
      <c r="M218" s="237" t="n"/>
      <c r="N218" s="237" t="n"/>
      <c r="O218" s="237" t="n"/>
      <c r="P218" s="237" t="n"/>
      <c r="Q218" s="237" t="n"/>
      <c r="R218" s="237" t="n"/>
      <c r="S218" s="237" t="n"/>
      <c r="T218" s="237" t="n"/>
      <c r="U218" s="237" t="n"/>
      <c r="V218" s="237" t="n"/>
      <c r="W218" s="237" t="n"/>
      <c r="X218" s="237" t="n"/>
      <c r="Y218" s="237" t="n"/>
      <c r="Z218" s="240" t="n"/>
      <c r="AA218" s="237" t="n"/>
      <c r="AB218" s="242" t="n"/>
      <c r="AC218" s="237" t="n"/>
      <c r="AD218" s="237" t="n"/>
      <c r="AE218" s="237" t="n"/>
      <c r="AF218" s="237" t="n"/>
      <c r="AG218" s="237" t="n"/>
      <c r="AH218" s="237" t="n"/>
      <c r="AI218" s="237" t="n"/>
      <c r="AJ218" s="237" t="n"/>
      <c r="AK218" s="237" t="n"/>
      <c r="AL218" s="237" t="n"/>
      <c r="AM218" s="237" t="n"/>
      <c r="AN218" s="237" t="n"/>
      <c r="AO218" s="237" t="n"/>
      <c r="AP218" s="237" t="n"/>
      <c r="AQ218" s="237" t="n"/>
      <c r="AR218" s="237" t="n"/>
      <c r="AS218" s="237" t="n"/>
    </row>
    <row r="219" ht="14" customFormat="1" customHeight="1" s="252">
      <c r="A219" s="237" t="n"/>
      <c r="B219" s="237" t="n"/>
      <c r="C219" s="237" t="n"/>
      <c r="E219" s="239" t="n"/>
      <c r="F219" s="237" t="n"/>
      <c r="G219" s="237" t="n"/>
      <c r="H219" s="237" t="n"/>
      <c r="I219" s="237" t="n"/>
      <c r="J219" s="237" t="n"/>
      <c r="K219" s="237" t="n"/>
      <c r="L219" s="237" t="n"/>
      <c r="M219" s="237" t="n"/>
      <c r="N219" s="237" t="n"/>
      <c r="O219" s="237" t="n"/>
      <c r="P219" s="237" t="n"/>
      <c r="Q219" s="237" t="n"/>
      <c r="R219" s="237" t="n"/>
      <c r="S219" s="237" t="n"/>
      <c r="T219" s="237" t="n"/>
      <c r="U219" s="237" t="n"/>
      <c r="V219" s="237" t="n"/>
      <c r="W219" s="237" t="n"/>
      <c r="X219" s="237" t="n"/>
      <c r="Y219" s="237" t="n"/>
      <c r="Z219" s="240" t="n"/>
      <c r="AA219" s="237" t="n"/>
      <c r="AB219" s="242" t="n"/>
      <c r="AC219" s="237" t="n"/>
      <c r="AD219" s="237" t="n"/>
      <c r="AE219" s="237" t="n"/>
      <c r="AF219" s="237" t="n"/>
      <c r="AG219" s="237" t="n"/>
      <c r="AH219" s="237" t="n"/>
      <c r="AI219" s="237" t="n"/>
      <c r="AJ219" s="237" t="n"/>
      <c r="AK219" s="237" t="n"/>
      <c r="AL219" s="237" t="n"/>
      <c r="AM219" s="237" t="n"/>
      <c r="AN219" s="237" t="n"/>
      <c r="AO219" s="237" t="n"/>
      <c r="AP219" s="237" t="n"/>
      <c r="AQ219" s="237" t="n"/>
      <c r="AR219" s="237" t="n"/>
      <c r="AS219" s="237" t="n"/>
    </row>
    <row r="220" ht="14" customFormat="1" customHeight="1" s="252">
      <c r="A220" s="237" t="n"/>
      <c r="B220" s="237" t="n"/>
      <c r="C220" s="237" t="n"/>
      <c r="E220" s="239" t="n"/>
      <c r="F220" s="237" t="n"/>
      <c r="G220" s="237" t="n"/>
      <c r="H220" s="237" t="n"/>
      <c r="I220" s="237" t="n"/>
      <c r="J220" s="237" t="n"/>
      <c r="K220" s="237" t="n"/>
      <c r="L220" s="237" t="n"/>
      <c r="M220" s="237" t="n"/>
      <c r="N220" s="237" t="n"/>
      <c r="O220" s="237" t="n"/>
      <c r="P220" s="237" t="n"/>
      <c r="Q220" s="237" t="n"/>
      <c r="R220" s="237" t="n"/>
      <c r="S220" s="237" t="n"/>
      <c r="T220" s="237" t="n"/>
      <c r="U220" s="237" t="n"/>
      <c r="V220" s="237" t="n"/>
      <c r="W220" s="237" t="n"/>
      <c r="X220" s="237" t="n"/>
      <c r="Y220" s="237" t="n"/>
      <c r="Z220" s="240" t="n"/>
      <c r="AA220" s="237" t="n"/>
      <c r="AB220" s="242" t="n"/>
      <c r="AC220" s="237" t="n"/>
      <c r="AD220" s="237" t="n"/>
      <c r="AE220" s="237" t="n"/>
      <c r="AF220" s="237" t="n"/>
      <c r="AG220" s="237" t="n"/>
      <c r="AH220" s="237" t="n"/>
      <c r="AI220" s="237" t="n"/>
      <c r="AJ220" s="237" t="n"/>
      <c r="AK220" s="237" t="n"/>
      <c r="AL220" s="237" t="n"/>
      <c r="AM220" s="237" t="n"/>
      <c r="AN220" s="237" t="n"/>
      <c r="AO220" s="237" t="n"/>
      <c r="AP220" s="237" t="n"/>
      <c r="AQ220" s="237" t="n"/>
      <c r="AR220" s="237" t="n"/>
      <c r="AS220" s="237" t="n"/>
    </row>
    <row r="221" ht="14" customFormat="1" customHeight="1" s="252">
      <c r="A221" s="237" t="n"/>
      <c r="B221" s="237" t="n"/>
      <c r="C221" s="237" t="n"/>
      <c r="E221" s="239" t="n"/>
      <c r="F221" s="237" t="n"/>
      <c r="G221" s="237" t="n"/>
      <c r="H221" s="237" t="n"/>
      <c r="I221" s="237" t="n"/>
      <c r="J221" s="237" t="n"/>
      <c r="K221" s="237" t="n"/>
      <c r="L221" s="237" t="n"/>
      <c r="M221" s="237" t="n"/>
      <c r="N221" s="237" t="n"/>
      <c r="O221" s="237" t="n"/>
      <c r="P221" s="237" t="n"/>
      <c r="Q221" s="237" t="n"/>
      <c r="R221" s="237" t="n"/>
      <c r="S221" s="237" t="n"/>
      <c r="T221" s="237" t="n"/>
      <c r="U221" s="237" t="n"/>
      <c r="V221" s="237" t="n"/>
      <c r="W221" s="237" t="n"/>
      <c r="X221" s="237" t="n"/>
      <c r="Y221" s="237" t="n"/>
      <c r="Z221" s="240" t="n"/>
      <c r="AA221" s="237" t="n"/>
      <c r="AB221" s="242" t="n"/>
      <c r="AC221" s="237" t="n"/>
      <c r="AD221" s="237" t="n"/>
      <c r="AE221" s="237" t="n"/>
      <c r="AF221" s="237" t="n"/>
      <c r="AG221" s="237" t="n"/>
      <c r="AH221" s="237" t="n"/>
      <c r="AI221" s="237" t="n"/>
      <c r="AJ221" s="237" t="n"/>
      <c r="AK221" s="237" t="n"/>
      <c r="AL221" s="237" t="n"/>
      <c r="AM221" s="237" t="n"/>
      <c r="AN221" s="237" t="n"/>
      <c r="AO221" s="237" t="n"/>
      <c r="AP221" s="237" t="n"/>
      <c r="AQ221" s="237" t="n"/>
      <c r="AR221" s="237" t="n"/>
      <c r="AS221" s="237" t="n"/>
    </row>
    <row r="222" ht="14" customFormat="1" customHeight="1" s="252">
      <c r="A222" s="237" t="n"/>
      <c r="B222" s="237" t="n"/>
      <c r="C222" s="237" t="n"/>
      <c r="E222" s="239" t="n"/>
      <c r="F222" s="237" t="n"/>
      <c r="G222" s="237" t="n"/>
      <c r="H222" s="237" t="n"/>
      <c r="I222" s="237" t="n"/>
      <c r="J222" s="237" t="n"/>
      <c r="K222" s="237" t="n"/>
      <c r="L222" s="237" t="n"/>
      <c r="M222" s="237" t="n"/>
      <c r="N222" s="237" t="n"/>
      <c r="O222" s="237" t="n"/>
      <c r="P222" s="237" t="n"/>
      <c r="Q222" s="237" t="n"/>
      <c r="R222" s="237" t="n"/>
      <c r="S222" s="237" t="n"/>
      <c r="T222" s="237" t="n"/>
      <c r="U222" s="237" t="n"/>
      <c r="V222" s="237" t="n"/>
      <c r="W222" s="237" t="n"/>
      <c r="X222" s="237" t="n"/>
      <c r="Y222" s="237" t="n"/>
      <c r="Z222" s="240" t="n"/>
      <c r="AA222" s="237" t="n"/>
      <c r="AB222" s="242" t="n"/>
      <c r="AC222" s="237" t="n"/>
      <c r="AD222" s="237" t="n"/>
      <c r="AE222" s="237" t="n"/>
      <c r="AF222" s="237" t="n"/>
      <c r="AG222" s="237" t="n"/>
      <c r="AH222" s="237" t="n"/>
      <c r="AI222" s="237" t="n"/>
      <c r="AJ222" s="237" t="n"/>
      <c r="AK222" s="237" t="n"/>
      <c r="AL222" s="237" t="n"/>
      <c r="AM222" s="237" t="n"/>
      <c r="AN222" s="237" t="n"/>
      <c r="AO222" s="237" t="n"/>
      <c r="AP222" s="237" t="n"/>
      <c r="AQ222" s="237" t="n"/>
      <c r="AR222" s="237" t="n"/>
      <c r="AS222" s="237" t="n"/>
    </row>
    <row r="223" ht="14" customFormat="1" customHeight="1" s="252">
      <c r="A223" s="237" t="n"/>
      <c r="B223" s="237" t="n"/>
      <c r="C223" s="237" t="n"/>
      <c r="E223" s="239" t="n"/>
      <c r="F223" s="237" t="n"/>
      <c r="G223" s="237" t="n"/>
      <c r="H223" s="237" t="n"/>
      <c r="I223" s="237" t="n"/>
      <c r="J223" s="237" t="n"/>
      <c r="K223" s="237" t="n"/>
      <c r="L223" s="237" t="n"/>
      <c r="M223" s="237" t="n"/>
      <c r="N223" s="237" t="n"/>
      <c r="O223" s="237" t="n"/>
      <c r="P223" s="237" t="n"/>
      <c r="Q223" s="237" t="n"/>
      <c r="R223" s="237" t="n"/>
      <c r="S223" s="237" t="n"/>
      <c r="T223" s="237" t="n"/>
      <c r="U223" s="237" t="n"/>
      <c r="V223" s="237" t="n"/>
      <c r="W223" s="237" t="n"/>
      <c r="X223" s="237" t="n"/>
      <c r="Y223" s="237" t="n"/>
      <c r="Z223" s="240" t="n"/>
      <c r="AA223" s="237" t="n"/>
      <c r="AB223" s="242" t="n"/>
      <c r="AC223" s="237" t="n"/>
      <c r="AD223" s="237" t="n"/>
      <c r="AE223" s="237" t="n"/>
      <c r="AF223" s="237" t="n"/>
      <c r="AG223" s="237" t="n"/>
      <c r="AH223" s="237" t="n"/>
      <c r="AI223" s="237" t="n"/>
      <c r="AJ223" s="237" t="n"/>
      <c r="AK223" s="237" t="n"/>
      <c r="AL223" s="237" t="n"/>
      <c r="AM223" s="237" t="n"/>
      <c r="AN223" s="237" t="n"/>
      <c r="AO223" s="237" t="n"/>
      <c r="AP223" s="237" t="n"/>
      <c r="AQ223" s="237" t="n"/>
      <c r="AR223" s="237" t="n"/>
      <c r="AS223" s="237" t="n"/>
    </row>
    <row r="224" ht="14" customFormat="1" customHeight="1" s="252">
      <c r="A224" s="237" t="n"/>
      <c r="B224" s="237" t="n"/>
      <c r="C224" s="237" t="n"/>
      <c r="E224" s="239" t="n"/>
      <c r="F224" s="237" t="n"/>
      <c r="G224" s="237" t="n"/>
      <c r="H224" s="237" t="n"/>
      <c r="I224" s="237" t="n"/>
      <c r="J224" s="237" t="n"/>
      <c r="K224" s="237" t="n"/>
      <c r="L224" s="237" t="n"/>
      <c r="M224" s="237" t="n"/>
      <c r="N224" s="237" t="n"/>
      <c r="O224" s="237" t="n"/>
      <c r="P224" s="237" t="n"/>
      <c r="Q224" s="237" t="n"/>
      <c r="R224" s="237" t="n"/>
      <c r="S224" s="237" t="n"/>
      <c r="T224" s="237" t="n"/>
      <c r="U224" s="237" t="n"/>
      <c r="V224" s="237" t="n"/>
      <c r="W224" s="237" t="n"/>
      <c r="X224" s="237" t="n"/>
      <c r="Y224" s="237" t="n"/>
      <c r="Z224" s="240" t="n"/>
      <c r="AA224" s="237" t="n"/>
      <c r="AB224" s="242" t="n"/>
      <c r="AC224" s="237" t="n"/>
      <c r="AD224" s="237" t="n"/>
      <c r="AE224" s="237" t="n"/>
      <c r="AF224" s="237" t="n"/>
      <c r="AG224" s="237" t="n"/>
      <c r="AH224" s="237" t="n"/>
      <c r="AI224" s="237" t="n"/>
      <c r="AJ224" s="237" t="n"/>
      <c r="AK224" s="237" t="n"/>
      <c r="AL224" s="237" t="n"/>
      <c r="AM224" s="237" t="n"/>
      <c r="AN224" s="237" t="n"/>
      <c r="AO224" s="237" t="n"/>
      <c r="AP224" s="237" t="n"/>
      <c r="AQ224" s="237" t="n"/>
      <c r="AR224" s="237" t="n"/>
      <c r="AS224" s="237" t="n"/>
    </row>
    <row r="225" ht="14" customFormat="1" customHeight="1" s="252">
      <c r="A225" s="237" t="n"/>
      <c r="B225" s="237" t="n"/>
      <c r="C225" s="237" t="n"/>
      <c r="E225" s="239" t="n"/>
      <c r="F225" s="237" t="n"/>
      <c r="G225" s="237" t="n"/>
      <c r="J225" s="237" t="n"/>
      <c r="L225" s="237" t="n"/>
      <c r="M225" s="237" t="n"/>
      <c r="N225" s="237" t="n"/>
      <c r="O225" s="237" t="n"/>
      <c r="P225" s="237" t="n"/>
      <c r="Q225" s="237" t="n"/>
      <c r="R225" s="237" t="n"/>
      <c r="S225" s="237" t="n"/>
      <c r="T225" s="237" t="n"/>
      <c r="U225" s="241" t="n"/>
      <c r="V225" s="237" t="n"/>
      <c r="W225" s="237" t="n"/>
      <c r="X225" s="237" t="n"/>
      <c r="Y225" s="237" t="n"/>
      <c r="Z225" s="253" t="n"/>
      <c r="AA225" s="254" t="n"/>
      <c r="AB225" s="255" t="n"/>
    </row>
    <row r="226" ht="14" customFormat="1" customHeight="1" s="252">
      <c r="A226" s="237" t="n"/>
      <c r="B226" s="237" t="n"/>
      <c r="C226" s="237" t="n"/>
      <c r="E226" s="239" t="n"/>
      <c r="F226" s="237" t="n"/>
      <c r="G226" s="237" t="n"/>
      <c r="H226" s="237" t="n"/>
      <c r="I226" s="237" t="n"/>
      <c r="J226" s="237" t="n"/>
      <c r="K226" s="237" t="n"/>
      <c r="L226" s="237" t="n"/>
      <c r="M226" s="237" t="n"/>
      <c r="N226" s="237" t="n"/>
      <c r="O226" s="237" t="n"/>
      <c r="P226" s="237" t="n"/>
      <c r="Q226" s="237" t="n"/>
      <c r="R226" s="237" t="n"/>
      <c r="S226" s="237" t="n"/>
      <c r="T226" s="237" t="n"/>
      <c r="U226" s="241" t="n"/>
      <c r="V226" s="237" t="n"/>
      <c r="W226" s="237" t="n"/>
      <c r="X226" s="237" t="n"/>
      <c r="Y226" s="237" t="n"/>
      <c r="Z226" s="240" t="n"/>
      <c r="AA226" s="237" t="n"/>
      <c r="AB226" s="242" t="n"/>
      <c r="AC226" s="237" t="n"/>
      <c r="AD226" s="237" t="n"/>
      <c r="AE226" s="237" t="n"/>
      <c r="AF226" s="237" t="n"/>
      <c r="AG226" s="237" t="n"/>
      <c r="AH226" s="237" t="n"/>
      <c r="AI226" s="237" t="n"/>
      <c r="AJ226" s="237" t="n"/>
      <c r="AK226" s="237" t="n"/>
      <c r="AL226" s="237" t="n"/>
      <c r="AM226" s="237" t="n"/>
      <c r="AN226" s="237" t="n"/>
      <c r="AO226" s="237" t="n"/>
      <c r="AP226" s="237" t="n"/>
      <c r="AQ226" s="237" t="n"/>
      <c r="AR226" s="237" t="n"/>
      <c r="AS226" s="237" t="n"/>
      <c r="AT226" s="237" t="n"/>
      <c r="AU226" s="237" t="n"/>
      <c r="AV226" s="237" t="n"/>
      <c r="AW226" s="237" t="n"/>
      <c r="AX226" s="237" t="n"/>
      <c r="AY226" s="237" t="n"/>
      <c r="AZ226" s="237" t="n"/>
      <c r="BA226" s="237" t="n"/>
      <c r="BB226" s="237" t="n"/>
      <c r="BC226" s="237" t="n"/>
      <c r="BD226" s="237" t="n"/>
      <c r="BE226" s="237" t="n"/>
      <c r="BF226" s="237" t="n"/>
      <c r="BG226" s="237" t="n"/>
      <c r="BH226" s="237" t="n"/>
    </row>
    <row r="227" ht="14" customFormat="1" customHeight="1" s="252">
      <c r="A227" s="237" t="n"/>
      <c r="B227" s="237" t="n"/>
      <c r="C227" s="237" t="n"/>
      <c r="E227" s="239" t="n"/>
      <c r="F227" s="237" t="n"/>
      <c r="G227" s="237" t="n"/>
      <c r="H227" s="237" t="n"/>
      <c r="I227" s="237" t="n"/>
      <c r="J227" s="237" t="n"/>
      <c r="K227" s="237" t="n"/>
      <c r="L227" s="237" t="n"/>
      <c r="M227" s="237" t="n"/>
      <c r="N227" s="237" t="n"/>
      <c r="O227" s="237" t="n"/>
      <c r="P227" s="237" t="n"/>
      <c r="Q227" s="237" t="n"/>
      <c r="R227" s="237" t="n"/>
      <c r="S227" s="237" t="n"/>
      <c r="T227" s="237" t="n"/>
      <c r="U227" s="241" t="n"/>
      <c r="V227" s="237" t="n"/>
      <c r="W227" s="237" t="n"/>
      <c r="X227" s="237" t="n"/>
      <c r="Y227" s="237" t="n"/>
      <c r="Z227" s="240" t="n"/>
      <c r="AA227" s="237" t="n"/>
      <c r="AB227" s="242" t="n"/>
      <c r="AC227" s="237" t="n"/>
      <c r="AD227" s="237" t="n"/>
      <c r="AE227" s="237" t="n"/>
      <c r="AF227" s="237" t="n"/>
      <c r="AG227" s="237" t="n"/>
      <c r="AH227" s="237" t="n"/>
      <c r="AI227" s="237" t="n"/>
      <c r="AJ227" s="237" t="n"/>
      <c r="AK227" s="237" t="n"/>
      <c r="AL227" s="237" t="n"/>
      <c r="AM227" s="237" t="n"/>
      <c r="AN227" s="237" t="n"/>
      <c r="AO227" s="237" t="n"/>
      <c r="AP227" s="237" t="n"/>
      <c r="AQ227" s="237" t="n"/>
      <c r="AR227" s="237" t="n"/>
      <c r="AS227" s="237" t="n"/>
      <c r="AT227" s="237" t="n"/>
      <c r="AU227" s="237" t="n"/>
      <c r="AV227" s="237" t="n"/>
      <c r="AW227" s="237" t="n"/>
      <c r="AX227" s="237" t="n"/>
      <c r="AY227" s="237" t="n"/>
      <c r="AZ227" s="237" t="n"/>
      <c r="BA227" s="237" t="n"/>
      <c r="BB227" s="237" t="n"/>
      <c r="BC227" s="237" t="n"/>
      <c r="BD227" s="237" t="n"/>
      <c r="BE227" s="237" t="n"/>
      <c r="BF227" s="237" t="n"/>
      <c r="BG227" s="237" t="n"/>
      <c r="BH227" s="237" t="n"/>
    </row>
    <row r="228" ht="14" customFormat="1" customHeight="1" s="252">
      <c r="A228" s="237" t="n"/>
      <c r="B228" s="237" t="n"/>
      <c r="C228" s="237" t="n"/>
      <c r="E228" s="239" t="n"/>
      <c r="F228" s="237" t="n"/>
      <c r="G228" s="237" t="n"/>
      <c r="H228" s="237" t="n"/>
      <c r="I228" s="237" t="n"/>
      <c r="J228" s="237" t="n"/>
      <c r="K228" s="237" t="n"/>
      <c r="L228" s="237" t="n"/>
      <c r="M228" s="237" t="n"/>
      <c r="N228" s="237" t="n"/>
      <c r="O228" s="237" t="n"/>
      <c r="P228" s="237" t="n"/>
      <c r="Q228" s="237" t="n"/>
      <c r="R228" s="237" t="n"/>
      <c r="S228" s="237" t="n"/>
      <c r="T228" s="237" t="n"/>
      <c r="U228" s="241" t="n"/>
      <c r="V228" s="237" t="n"/>
      <c r="W228" s="237" t="n"/>
      <c r="X228" s="237" t="n"/>
      <c r="Y228" s="237" t="n"/>
      <c r="Z228" s="240" t="n"/>
      <c r="AA228" s="237" t="n"/>
      <c r="AB228" s="242" t="n"/>
      <c r="AC228" s="237" t="n"/>
      <c r="AD228" s="237" t="n"/>
      <c r="AE228" s="237" t="n"/>
      <c r="AF228" s="237" t="n"/>
      <c r="AG228" s="237" t="n"/>
      <c r="AH228" s="237" t="n"/>
      <c r="AI228" s="237" t="n"/>
      <c r="AJ228" s="237" t="n"/>
      <c r="AK228" s="237" t="n"/>
      <c r="AL228" s="237" t="n"/>
      <c r="AM228" s="237" t="n"/>
      <c r="AN228" s="237" t="n"/>
      <c r="AO228" s="237" t="n"/>
      <c r="AP228" s="237" t="n"/>
      <c r="AQ228" s="237" t="n"/>
      <c r="AR228" s="237" t="n"/>
      <c r="AS228" s="237" t="n"/>
      <c r="AT228" s="237" t="n"/>
      <c r="AU228" s="237" t="n"/>
      <c r="AV228" s="237" t="n"/>
      <c r="AW228" s="237" t="n"/>
      <c r="AX228" s="237" t="n"/>
      <c r="AY228" s="237" t="n"/>
      <c r="AZ228" s="237" t="n"/>
      <c r="BA228" s="237" t="n"/>
      <c r="BB228" s="237" t="n"/>
      <c r="BC228" s="237" t="n"/>
      <c r="BD228" s="237" t="n"/>
      <c r="BE228" s="237" t="n"/>
      <c r="BF228" s="237" t="n"/>
      <c r="BG228" s="237" t="n"/>
      <c r="BH228" s="237" t="n"/>
    </row>
    <row r="229" ht="14" customFormat="1" customHeight="1" s="252">
      <c r="A229" s="237" t="n"/>
      <c r="B229" s="237" t="n"/>
      <c r="C229" s="237" t="n"/>
      <c r="E229" s="239" t="n"/>
      <c r="F229" s="237" t="n"/>
      <c r="G229" s="237" t="n"/>
      <c r="H229" s="237" t="n"/>
      <c r="I229" s="237" t="n"/>
      <c r="J229" s="237" t="n"/>
      <c r="K229" s="237" t="n"/>
      <c r="L229" s="237" t="n"/>
      <c r="M229" s="237" t="n"/>
      <c r="N229" s="237" t="n"/>
      <c r="O229" s="237" t="n"/>
      <c r="P229" s="237" t="n"/>
      <c r="Q229" s="237" t="n"/>
      <c r="R229" s="237" t="n"/>
      <c r="S229" s="237" t="n"/>
      <c r="T229" s="237" t="n"/>
      <c r="U229" s="241" t="n"/>
      <c r="V229" s="237" t="n"/>
      <c r="W229" s="237" t="n"/>
      <c r="X229" s="237" t="n"/>
      <c r="Y229" s="237" t="n"/>
      <c r="Z229" s="240" t="n"/>
      <c r="AA229" s="237" t="n"/>
      <c r="AB229" s="242" t="n"/>
      <c r="AC229" s="237" t="n"/>
      <c r="AD229" s="237" t="n"/>
      <c r="AE229" s="237" t="n"/>
      <c r="AF229" s="237" t="n"/>
      <c r="AG229" s="237" t="n"/>
      <c r="AH229" s="237" t="n"/>
      <c r="AI229" s="237" t="n"/>
      <c r="AJ229" s="237" t="n"/>
      <c r="AK229" s="237" t="n"/>
      <c r="AL229" s="237" t="n"/>
      <c r="AM229" s="237" t="n"/>
      <c r="AN229" s="237" t="n"/>
      <c r="AO229" s="237" t="n"/>
      <c r="AP229" s="237" t="n"/>
      <c r="AQ229" s="237" t="n"/>
      <c r="AR229" s="237" t="n"/>
      <c r="AS229" s="237" t="n"/>
      <c r="AT229" s="237" t="n"/>
      <c r="AU229" s="237" t="n"/>
      <c r="AV229" s="237" t="n"/>
      <c r="AW229" s="237" t="n"/>
      <c r="AX229" s="237" t="n"/>
      <c r="AY229" s="237" t="n"/>
      <c r="AZ229" s="237" t="n"/>
      <c r="BA229" s="237" t="n"/>
      <c r="BB229" s="237" t="n"/>
      <c r="BC229" s="237" t="n"/>
      <c r="BD229" s="237" t="n"/>
      <c r="BE229" s="237" t="n"/>
      <c r="BF229" s="237" t="n"/>
      <c r="BG229" s="237" t="n"/>
      <c r="BH229" s="237" t="n"/>
    </row>
    <row r="230" ht="14" customFormat="1" customHeight="1" s="252">
      <c r="A230" s="237" t="n"/>
      <c r="B230" s="237" t="n"/>
      <c r="C230" s="237" t="n"/>
      <c r="E230" s="239" t="n"/>
      <c r="F230" s="237" t="n"/>
      <c r="G230" s="237" t="n"/>
      <c r="H230" s="237" t="n"/>
      <c r="I230" s="237" t="n"/>
      <c r="J230" s="237" t="n"/>
      <c r="K230" s="237" t="n"/>
      <c r="L230" s="237" t="n"/>
      <c r="M230" s="237" t="n"/>
      <c r="N230" s="237" t="n"/>
      <c r="O230" s="237" t="n"/>
      <c r="P230" s="237" t="n"/>
      <c r="Q230" s="237" t="n"/>
      <c r="R230" s="237" t="n"/>
      <c r="S230" s="237" t="n"/>
      <c r="T230" s="237" t="n"/>
      <c r="U230" s="241" t="n"/>
      <c r="V230" s="237" t="n"/>
      <c r="W230" s="237" t="n"/>
      <c r="X230" s="237" t="n"/>
      <c r="Y230" s="237" t="n"/>
      <c r="Z230" s="240" t="n"/>
      <c r="AA230" s="237" t="n"/>
      <c r="AB230" s="242" t="n"/>
      <c r="AC230" s="237" t="n"/>
      <c r="AD230" s="237" t="n"/>
      <c r="AE230" s="237" t="n"/>
      <c r="AF230" s="237" t="n"/>
      <c r="AG230" s="237" t="n"/>
      <c r="AH230" s="237" t="n"/>
      <c r="AI230" s="237" t="n"/>
      <c r="AJ230" s="237" t="n"/>
      <c r="AK230" s="237" t="n"/>
      <c r="AL230" s="237" t="n"/>
      <c r="AM230" s="237" t="n"/>
      <c r="AN230" s="237" t="n"/>
      <c r="AO230" s="237" t="n"/>
      <c r="AP230" s="237" t="n"/>
      <c r="AQ230" s="237" t="n"/>
      <c r="AR230" s="237" t="n"/>
      <c r="AS230" s="237" t="n"/>
      <c r="AT230" s="237" t="n"/>
      <c r="AU230" s="237" t="n"/>
      <c r="AV230" s="237" t="n"/>
      <c r="AW230" s="237" t="n"/>
      <c r="AX230" s="237" t="n"/>
      <c r="AY230" s="237" t="n"/>
      <c r="AZ230" s="237" t="n"/>
      <c r="BA230" s="237" t="n"/>
      <c r="BB230" s="237" t="n"/>
      <c r="BC230" s="237" t="n"/>
      <c r="BD230" s="237" t="n"/>
      <c r="BE230" s="237" t="n"/>
      <c r="BF230" s="237" t="n"/>
      <c r="BG230" s="237" t="n"/>
      <c r="BH230" s="237" t="n"/>
    </row>
    <row r="231" ht="14" customFormat="1" customHeight="1" s="252">
      <c r="A231" s="237" t="n"/>
      <c r="B231" s="237" t="n"/>
      <c r="C231" s="237" t="n"/>
      <c r="E231" s="239" t="n"/>
      <c r="F231" s="237" t="n"/>
      <c r="G231" s="237" t="n"/>
      <c r="H231" s="237" t="n"/>
      <c r="I231" s="237" t="n"/>
      <c r="J231" s="237" t="n"/>
      <c r="K231" s="237" t="n"/>
      <c r="L231" s="237" t="n"/>
      <c r="M231" s="237" t="n"/>
      <c r="N231" s="237" t="n"/>
      <c r="O231" s="237" t="n"/>
      <c r="P231" s="237" t="n"/>
      <c r="Q231" s="237" t="n"/>
      <c r="R231" s="237" t="n"/>
      <c r="S231" s="237" t="n"/>
      <c r="T231" s="237" t="n"/>
      <c r="U231" s="241" t="n"/>
      <c r="V231" s="237" t="n"/>
      <c r="W231" s="237" t="n"/>
      <c r="X231" s="237" t="n"/>
      <c r="Y231" s="237" t="n"/>
      <c r="Z231" s="240" t="n"/>
      <c r="AA231" s="237" t="n"/>
      <c r="AB231" s="242" t="n"/>
      <c r="AC231" s="237" t="n"/>
      <c r="AD231" s="237" t="n"/>
      <c r="AE231" s="237" t="n"/>
      <c r="AF231" s="237" t="n"/>
      <c r="AG231" s="237" t="n"/>
      <c r="AH231" s="237" t="n"/>
      <c r="AI231" s="237" t="n"/>
      <c r="AJ231" s="237" t="n"/>
      <c r="AK231" s="237" t="n"/>
      <c r="AL231" s="237" t="n"/>
      <c r="AM231" s="237" t="n"/>
      <c r="AN231" s="237" t="n"/>
      <c r="AO231" s="237" t="n"/>
      <c r="AP231" s="237" t="n"/>
      <c r="AQ231" s="237" t="n"/>
      <c r="AR231" s="237" t="n"/>
      <c r="AS231" s="237" t="n"/>
      <c r="AT231" s="237" t="n"/>
      <c r="AU231" s="237" t="n"/>
      <c r="AV231" s="237" t="n"/>
      <c r="AW231" s="237" t="n"/>
      <c r="AX231" s="237" t="n"/>
      <c r="AY231" s="237" t="n"/>
      <c r="AZ231" s="237" t="n"/>
      <c r="BA231" s="237" t="n"/>
      <c r="BB231" s="237" t="n"/>
      <c r="BC231" s="237" t="n"/>
      <c r="BD231" s="237" t="n"/>
      <c r="BE231" s="237" t="n"/>
      <c r="BF231" s="237" t="n"/>
      <c r="BG231" s="237" t="n"/>
      <c r="BH231" s="237" t="n"/>
    </row>
    <row r="232" ht="14" customFormat="1" customHeight="1" s="252">
      <c r="A232" s="237" t="n"/>
      <c r="B232" s="237" t="n"/>
      <c r="C232" s="237" t="n"/>
      <c r="E232" s="239" t="n"/>
      <c r="F232" s="237" t="n"/>
      <c r="G232" s="237" t="n"/>
      <c r="H232" s="237" t="n"/>
      <c r="I232" s="237" t="n"/>
      <c r="J232" s="237" t="n"/>
      <c r="K232" s="237" t="n"/>
      <c r="L232" s="237" t="n"/>
      <c r="M232" s="237" t="n"/>
      <c r="N232" s="237" t="n"/>
      <c r="O232" s="237" t="n"/>
      <c r="P232" s="237" t="n"/>
      <c r="Q232" s="237" t="n"/>
      <c r="R232" s="237" t="n"/>
      <c r="S232" s="237" t="n"/>
      <c r="T232" s="237" t="n"/>
      <c r="U232" s="241" t="n"/>
      <c r="V232" s="237" t="n"/>
      <c r="W232" s="237" t="n"/>
      <c r="X232" s="237" t="n"/>
      <c r="Y232" s="237" t="n"/>
      <c r="Z232" s="240" t="n"/>
      <c r="AA232" s="237" t="n"/>
      <c r="AB232" s="242" t="n"/>
      <c r="AC232" s="237" t="n"/>
      <c r="AD232" s="237" t="n"/>
      <c r="AE232" s="237" t="n"/>
      <c r="AF232" s="237" t="n"/>
      <c r="AG232" s="237" t="n"/>
      <c r="AH232" s="237" t="n"/>
      <c r="AI232" s="237" t="n"/>
      <c r="AJ232" s="237" t="n"/>
      <c r="AK232" s="237" t="n"/>
      <c r="AL232" s="237" t="n"/>
      <c r="AM232" s="237" t="n"/>
      <c r="AN232" s="237" t="n"/>
    </row>
    <row r="233" ht="14" customFormat="1" customHeight="1" s="252">
      <c r="A233" s="237" t="n"/>
      <c r="B233" s="237" t="n"/>
      <c r="C233" s="237" t="n"/>
      <c r="E233" s="239" t="n"/>
      <c r="F233" s="237" t="n"/>
      <c r="G233" s="237" t="n"/>
      <c r="H233" s="237" t="n"/>
      <c r="I233" s="237" t="n"/>
      <c r="J233" s="237" t="n"/>
      <c r="K233" s="237" t="n"/>
      <c r="L233" s="237" t="n"/>
      <c r="M233" s="237" t="n"/>
      <c r="N233" s="237" t="n"/>
      <c r="O233" s="237" t="n"/>
      <c r="P233" s="237" t="n"/>
      <c r="Q233" s="237" t="n"/>
      <c r="R233" s="237" t="n"/>
      <c r="S233" s="237" t="n"/>
      <c r="T233" s="237" t="n"/>
      <c r="U233" s="245" t="n"/>
      <c r="V233" s="237" t="n"/>
      <c r="W233" s="237" t="n"/>
      <c r="X233" s="237" t="n"/>
      <c r="Y233" s="237" t="n"/>
      <c r="Z233" s="240" t="n"/>
      <c r="AA233" s="237" t="n"/>
      <c r="AB233" s="242" t="n"/>
      <c r="AC233" s="237" t="n"/>
      <c r="AD233" s="237" t="n"/>
      <c r="AE233" s="237" t="n"/>
      <c r="AF233" s="237" t="n"/>
      <c r="AG233" s="237" t="n"/>
      <c r="AH233" s="237" t="n"/>
      <c r="AI233" s="237" t="n"/>
      <c r="AJ233" s="237" t="n"/>
      <c r="AK233" s="237" t="n"/>
      <c r="AL233" s="237" t="n"/>
      <c r="AM233" s="237" t="n"/>
      <c r="AN233" s="237" t="n"/>
    </row>
    <row r="234" ht="14" customFormat="1" customHeight="1" s="252">
      <c r="A234" s="237" t="n"/>
      <c r="B234" s="237" t="n"/>
      <c r="C234" s="237" t="n"/>
      <c r="E234" s="239" t="n"/>
      <c r="F234" s="237" t="n"/>
      <c r="G234" s="237" t="n"/>
      <c r="H234" s="237" t="n"/>
      <c r="I234" s="237" t="n"/>
      <c r="J234" s="237" t="n"/>
      <c r="K234" s="237" t="n"/>
      <c r="L234" s="237" t="n"/>
      <c r="M234" s="237" t="n"/>
      <c r="N234" s="237" t="n"/>
      <c r="O234" s="237" t="n"/>
      <c r="P234" s="237" t="n"/>
      <c r="Q234" s="237" t="n"/>
      <c r="R234" s="237" t="n"/>
      <c r="S234" s="237" t="n"/>
      <c r="T234" s="237" t="n"/>
      <c r="U234" s="245" t="n"/>
      <c r="V234" s="237" t="n"/>
      <c r="W234" s="237" t="n"/>
      <c r="X234" s="237" t="n"/>
      <c r="Y234" s="237" t="n"/>
      <c r="Z234" s="240" t="n"/>
      <c r="AA234" s="237" t="n"/>
      <c r="AB234" s="242" t="n"/>
      <c r="AC234" s="237" t="n"/>
      <c r="AD234" s="237" t="n"/>
      <c r="AE234" s="237" t="n"/>
      <c r="AF234" s="237" t="n"/>
      <c r="AG234" s="237" t="n"/>
      <c r="AH234" s="237" t="n"/>
      <c r="AI234" s="237" t="n"/>
      <c r="AJ234" s="237" t="n"/>
      <c r="AK234" s="237" t="n"/>
      <c r="AL234" s="237" t="n"/>
      <c r="AM234" s="237" t="n"/>
      <c r="AN234" s="237" t="n"/>
    </row>
    <row r="235" ht="14" customFormat="1" customHeight="1" s="252">
      <c r="A235" s="237" t="n"/>
      <c r="B235" s="237" t="n"/>
      <c r="C235" s="237" t="n"/>
      <c r="E235" s="239" t="n"/>
      <c r="F235" s="237" t="n"/>
      <c r="G235" s="237" t="n"/>
      <c r="H235" s="237" t="n"/>
      <c r="I235" s="237" t="n"/>
      <c r="J235" s="237" t="n"/>
      <c r="K235" s="237" t="n"/>
      <c r="L235" s="237" t="n"/>
      <c r="M235" s="237" t="n"/>
      <c r="N235" s="237" t="n"/>
      <c r="O235" s="237" t="n"/>
      <c r="P235" s="237" t="n"/>
      <c r="Q235" s="237" t="n"/>
      <c r="R235" s="237" t="n"/>
      <c r="S235" s="237" t="n"/>
      <c r="T235" s="237" t="n"/>
      <c r="U235" s="245" t="n"/>
      <c r="V235" s="237" t="n"/>
      <c r="W235" s="237" t="n"/>
      <c r="X235" s="237" t="n"/>
      <c r="Y235" s="237" t="n"/>
      <c r="Z235" s="240" t="n"/>
      <c r="AA235" s="237" t="n"/>
      <c r="AB235" s="242" t="n"/>
      <c r="AC235" s="237" t="n"/>
      <c r="AD235" s="237" t="n"/>
      <c r="AE235" s="237" t="n"/>
      <c r="AF235" s="237" t="n"/>
      <c r="AG235" s="237" t="n"/>
      <c r="AH235" s="237" t="n"/>
      <c r="AI235" s="237" t="n"/>
      <c r="AJ235" s="237" t="n"/>
      <c r="AK235" s="237" t="n"/>
      <c r="AL235" s="237" t="n"/>
      <c r="AM235" s="237" t="n"/>
      <c r="AN235" s="237" t="n"/>
    </row>
    <row r="236" ht="14" customFormat="1" customHeight="1" s="252">
      <c r="A236" s="237" t="n"/>
      <c r="B236" s="237" t="n"/>
      <c r="C236" s="237" t="n"/>
      <c r="E236" s="239" t="n"/>
      <c r="F236" s="237" t="n"/>
      <c r="G236" s="237" t="n"/>
      <c r="H236" s="237" t="n"/>
      <c r="I236" s="237" t="n"/>
      <c r="J236" s="237" t="n"/>
      <c r="K236" s="237" t="n"/>
      <c r="L236" s="237" t="n"/>
      <c r="M236" s="237" t="n"/>
      <c r="N236" s="237" t="n"/>
      <c r="O236" s="237" t="n"/>
      <c r="P236" s="237" t="n"/>
      <c r="Q236" s="237" t="n"/>
      <c r="R236" s="237" t="n"/>
      <c r="S236" s="237" t="n"/>
      <c r="T236" s="237" t="n"/>
      <c r="U236" s="241" t="n"/>
      <c r="V236" s="237" t="n"/>
      <c r="W236" s="237" t="n"/>
      <c r="X236" s="237" t="n"/>
      <c r="Y236" s="237" t="n"/>
      <c r="Z236" s="240" t="n"/>
      <c r="AA236" s="237" t="n"/>
      <c r="AB236" s="242" t="n"/>
      <c r="AC236" s="237" t="n"/>
      <c r="AD236" s="237" t="n"/>
      <c r="AE236" s="237" t="n"/>
      <c r="AF236" s="237" t="n"/>
      <c r="AG236" s="237" t="n"/>
      <c r="AH236" s="237" t="n"/>
      <c r="AI236" s="237" t="n"/>
      <c r="AJ236" s="237" t="n"/>
      <c r="AK236" s="237" t="n"/>
      <c r="AL236" s="237" t="n"/>
      <c r="AM236" s="237" t="n"/>
      <c r="AN236" s="237" t="n"/>
    </row>
    <row r="237" ht="14" customFormat="1" customHeight="1" s="252">
      <c r="A237" s="237" t="n"/>
      <c r="B237" s="237" t="n"/>
      <c r="C237" s="237" t="n"/>
      <c r="E237" s="239" t="n"/>
      <c r="F237" s="237" t="n"/>
      <c r="G237" s="237" t="n"/>
      <c r="H237" s="237" t="n"/>
      <c r="I237" s="237" t="n"/>
      <c r="J237" s="237" t="n"/>
      <c r="K237" s="237" t="n"/>
      <c r="L237" s="237" t="n"/>
      <c r="M237" s="237" t="n"/>
      <c r="N237" s="237" t="n"/>
      <c r="O237" s="237" t="n"/>
      <c r="P237" s="237" t="n"/>
      <c r="Q237" s="237" t="n"/>
      <c r="R237" s="237" t="n"/>
      <c r="S237" s="237" t="n"/>
      <c r="T237" s="237" t="n"/>
      <c r="U237" s="241" t="n"/>
      <c r="V237" s="237" t="n"/>
      <c r="W237" s="237" t="n"/>
      <c r="X237" s="237" t="n"/>
      <c r="Y237" s="237" t="n"/>
      <c r="Z237" s="240" t="n"/>
      <c r="AA237" s="237" t="n"/>
      <c r="AB237" s="242" t="n"/>
      <c r="AC237" s="237" t="n"/>
      <c r="AD237" s="237" t="n"/>
      <c r="AE237" s="237" t="n"/>
      <c r="AF237" s="237" t="n"/>
      <c r="AG237" s="237" t="n"/>
      <c r="AH237" s="237" t="n"/>
      <c r="AI237" s="237" t="n"/>
      <c r="AJ237" s="237" t="n"/>
      <c r="AK237" s="237" t="n"/>
      <c r="AL237" s="237" t="n"/>
      <c r="AM237" s="237" t="n"/>
      <c r="AN237" s="237" t="n"/>
    </row>
    <row r="238" ht="14" customFormat="1" customHeight="1" s="252">
      <c r="A238" s="237" t="n"/>
      <c r="B238" s="237" t="n"/>
      <c r="C238" s="237" t="n"/>
      <c r="E238" s="239" t="n"/>
      <c r="F238" s="237" t="n"/>
      <c r="G238" s="237" t="n"/>
      <c r="H238" s="237" t="n"/>
      <c r="I238" s="237" t="n"/>
      <c r="J238" s="237" t="n"/>
      <c r="K238" s="237" t="n"/>
      <c r="L238" s="237" t="n"/>
      <c r="M238" s="237" t="n"/>
      <c r="N238" s="237" t="n"/>
      <c r="O238" s="237" t="n"/>
      <c r="P238" s="237" t="n"/>
      <c r="Q238" s="237" t="n"/>
      <c r="R238" s="237" t="n"/>
      <c r="S238" s="237" t="n"/>
      <c r="T238" s="237" t="n"/>
      <c r="U238" s="245" t="n"/>
      <c r="V238" s="237" t="n"/>
      <c r="W238" s="237" t="n"/>
      <c r="X238" s="237" t="n"/>
      <c r="Y238" s="237" t="n"/>
      <c r="Z238" s="240" t="n"/>
      <c r="AA238" s="237" t="n"/>
      <c r="AB238" s="242" t="n"/>
      <c r="AC238" s="237" t="n"/>
      <c r="AD238" s="237" t="n"/>
      <c r="AE238" s="237" t="n"/>
      <c r="AF238" s="237" t="n"/>
      <c r="AG238" s="237" t="n"/>
      <c r="AH238" s="237" t="n"/>
      <c r="AI238" s="237" t="n"/>
      <c r="AJ238" s="237" t="n"/>
      <c r="AK238" s="237" t="n"/>
      <c r="AL238" s="237" t="n"/>
      <c r="AM238" s="237" t="n"/>
      <c r="AN238" s="237" t="n"/>
    </row>
    <row r="239" ht="14" customFormat="1" customHeight="1" s="252">
      <c r="A239" s="237" t="n"/>
      <c r="B239" s="237" t="n"/>
      <c r="C239" s="237" t="n"/>
      <c r="E239" s="239" t="n"/>
      <c r="F239" s="237" t="n"/>
      <c r="G239" s="237" t="n"/>
      <c r="H239" s="237" t="n"/>
      <c r="I239" s="237" t="n"/>
      <c r="J239" s="237" t="n"/>
      <c r="K239" s="237" t="n"/>
      <c r="L239" s="237" t="n"/>
      <c r="M239" s="237" t="n"/>
      <c r="N239" s="237" t="n"/>
      <c r="O239" s="237" t="n"/>
      <c r="P239" s="256" t="n"/>
      <c r="Q239" s="256" t="n"/>
      <c r="R239" s="256" t="n"/>
      <c r="S239" s="256" t="n"/>
      <c r="T239" s="256" t="n"/>
      <c r="U239" s="257" t="n"/>
      <c r="V239" s="256" t="n"/>
      <c r="W239" s="256" t="n"/>
      <c r="X239" s="256" t="n"/>
      <c r="Y239" s="256" t="n"/>
      <c r="Z239" s="258" t="n"/>
      <c r="AA239" s="256" t="n"/>
      <c r="AB239" s="259" t="n"/>
      <c r="AC239" s="256" t="n"/>
      <c r="AD239" s="256" t="n"/>
      <c r="AE239" s="256" t="n"/>
      <c r="AF239" s="256" t="n"/>
      <c r="AG239" s="256" t="n"/>
      <c r="AH239" s="256" t="n"/>
      <c r="AI239" s="256" t="n"/>
      <c r="AJ239" s="256" t="n"/>
      <c r="AK239" s="256" t="n"/>
      <c r="AL239" s="256" t="n"/>
      <c r="AM239" s="256" t="n"/>
      <c r="AN239" s="256" t="n"/>
    </row>
    <row r="240" ht="14" customFormat="1" customHeight="1" s="252">
      <c r="A240" s="237" t="n"/>
      <c r="B240" s="237" t="n"/>
      <c r="C240" s="237" t="n"/>
      <c r="E240" s="239" t="n"/>
      <c r="F240" s="237" t="n"/>
      <c r="G240" s="237" t="n"/>
      <c r="H240" s="238" t="n"/>
      <c r="I240" s="238" t="n"/>
      <c r="J240" s="238" t="n"/>
      <c r="K240" s="238" t="n"/>
      <c r="L240" s="238" t="n"/>
      <c r="M240" s="238" t="n"/>
      <c r="N240" s="238" t="n"/>
      <c r="O240" s="237" t="n"/>
      <c r="P240" s="246" t="n"/>
      <c r="Q240" s="246" t="n"/>
      <c r="R240" s="246" t="n"/>
      <c r="S240" s="246" t="n"/>
      <c r="T240" s="246" t="n"/>
      <c r="U240" s="246" t="n"/>
      <c r="V240" s="246" t="n"/>
      <c r="W240" s="246" t="n"/>
      <c r="X240" s="246" t="n"/>
      <c r="Y240" s="246" t="n"/>
      <c r="Z240" s="240" t="n"/>
      <c r="AA240" s="237" t="n"/>
      <c r="AB240" s="242" t="n"/>
      <c r="AC240" s="237" t="n"/>
      <c r="AD240" s="237" t="n"/>
      <c r="AE240" s="237" t="n"/>
      <c r="AF240" s="237" t="n"/>
      <c r="AG240" s="237" t="n"/>
      <c r="AH240" s="237" t="n"/>
      <c r="AI240" s="237" t="n"/>
      <c r="AJ240" s="237" t="n"/>
      <c r="AK240" s="237" t="n"/>
      <c r="AL240" s="237" t="n"/>
      <c r="AM240" s="237" t="n"/>
      <c r="AN240" s="237" t="n"/>
      <c r="AO240" s="238" t="n"/>
      <c r="AP240" s="238" t="n"/>
      <c r="AQ240" s="238" t="n"/>
      <c r="AR240" s="238" t="n"/>
      <c r="AS240" s="238" t="n"/>
    </row>
    <row r="241" ht="14" customFormat="1" customHeight="1" s="252">
      <c r="A241" s="237" t="n"/>
      <c r="B241" s="237" t="n"/>
      <c r="C241" s="237" t="n"/>
      <c r="E241" s="239" t="n"/>
      <c r="F241" s="237" t="n"/>
      <c r="G241" s="237" t="n"/>
      <c r="H241" s="238" t="n"/>
      <c r="I241" s="238" t="n"/>
      <c r="J241" s="238" t="n"/>
      <c r="K241" s="238" t="n"/>
      <c r="L241" s="238" t="n"/>
      <c r="M241" s="238" t="n"/>
      <c r="N241" s="238" t="n"/>
      <c r="O241" s="237" t="n"/>
      <c r="P241" s="246" t="n"/>
      <c r="Q241" s="246" t="n"/>
      <c r="R241" s="246" t="n"/>
      <c r="S241" s="246" t="n"/>
      <c r="T241" s="246" t="n"/>
      <c r="U241" s="246" t="n"/>
      <c r="V241" s="246" t="n"/>
      <c r="W241" s="246" t="n"/>
      <c r="X241" s="246" t="n"/>
      <c r="Y241" s="246" t="n"/>
      <c r="Z241" s="243" t="n"/>
      <c r="AA241" s="238" t="n"/>
      <c r="AB241" s="247" t="n"/>
      <c r="AC241" s="238" t="n"/>
      <c r="AD241" s="238" t="n"/>
      <c r="AE241" s="238" t="n"/>
      <c r="AF241" s="238" t="n"/>
      <c r="AG241" s="238" t="n"/>
      <c r="AH241" s="238" t="n"/>
      <c r="AI241" s="238" t="n"/>
      <c r="AJ241" s="238" t="n"/>
      <c r="AK241" s="238" t="n"/>
      <c r="AL241" s="238" t="n"/>
      <c r="AM241" s="238" t="n"/>
      <c r="AN241" s="238" t="n"/>
      <c r="AO241" s="238" t="n"/>
      <c r="AP241" s="238" t="n"/>
      <c r="AQ241" s="238" t="n"/>
      <c r="AR241" s="238" t="n"/>
      <c r="AS241" s="238" t="n"/>
    </row>
    <row r="242" ht="14" customFormat="1" customHeight="1" s="252">
      <c r="A242" s="237" t="n"/>
      <c r="B242" s="237" t="n"/>
      <c r="C242" s="237" t="n"/>
      <c r="E242" s="239" t="n"/>
      <c r="F242" s="237" t="n"/>
      <c r="G242" s="237" t="n"/>
      <c r="H242" s="238" t="n"/>
      <c r="I242" s="238" t="n"/>
      <c r="J242" s="238" t="n"/>
      <c r="K242" s="238" t="n"/>
      <c r="L242" s="238" t="n"/>
      <c r="M242" s="238" t="n"/>
      <c r="N242" s="238" t="n"/>
      <c r="O242" s="237" t="n"/>
      <c r="P242" s="246" t="n"/>
      <c r="Q242" s="246" t="n"/>
      <c r="R242" s="246" t="n"/>
      <c r="S242" s="246" t="n"/>
      <c r="T242" s="246" t="n"/>
      <c r="U242" s="246" t="n"/>
      <c r="V242" s="246" t="n"/>
      <c r="W242" s="246" t="n"/>
      <c r="X242" s="246" t="n"/>
      <c r="Y242" s="246" t="n"/>
      <c r="Z242" s="243" t="n"/>
      <c r="AA242" s="238" t="n"/>
      <c r="AB242" s="244" t="n"/>
      <c r="AC242" s="238" t="n"/>
      <c r="AD242" s="238" t="n"/>
      <c r="AE242" s="238" t="n"/>
      <c r="AF242" s="238" t="n"/>
      <c r="AG242" s="238" t="n"/>
      <c r="AH242" s="238" t="n"/>
      <c r="AI242" s="238" t="n"/>
      <c r="AJ242" s="238" t="n"/>
      <c r="AK242" s="238" t="n"/>
      <c r="AL242" s="238" t="n"/>
      <c r="AM242" s="238" t="n"/>
      <c r="AN242" s="238" t="n"/>
      <c r="AO242" s="238" t="n"/>
      <c r="AP242" s="238" t="n"/>
      <c r="AQ242" s="238" t="n"/>
      <c r="AR242" s="238" t="n"/>
      <c r="AS242" s="238" t="n"/>
    </row>
    <row r="243" ht="14" customFormat="1" customHeight="1" s="252">
      <c r="A243" s="237" t="n"/>
      <c r="B243" s="237" t="n"/>
      <c r="C243" s="239" t="n"/>
      <c r="D243" s="237" t="n"/>
      <c r="E243" s="237" t="n"/>
      <c r="F243" s="237" t="n"/>
      <c r="G243" s="237" t="n"/>
      <c r="O243" s="260" t="n"/>
      <c r="P243" s="261" t="n"/>
      <c r="Q243" s="261" t="n"/>
      <c r="R243" s="261" t="n"/>
      <c r="S243" s="261" t="n"/>
      <c r="T243" s="261" t="n"/>
      <c r="U243" s="261" t="n"/>
      <c r="V243" s="261" t="n"/>
      <c r="W243" s="261" t="n"/>
      <c r="X243" s="261" t="n"/>
      <c r="Y243" s="261" t="n"/>
      <c r="Z243" s="253" t="n"/>
      <c r="AB243" s="262" t="n"/>
    </row>
    <row r="244" ht="14" customFormat="1" customHeight="1" s="252">
      <c r="A244" s="237" t="n"/>
      <c r="B244" s="237" t="n"/>
      <c r="C244" s="239" t="n"/>
      <c r="D244" s="237" t="n"/>
      <c r="E244" s="237" t="n"/>
      <c r="F244" s="237" t="n"/>
      <c r="G244" s="237" t="n"/>
      <c r="O244" s="260" t="n"/>
      <c r="P244" s="261" t="n"/>
      <c r="Q244" s="261" t="n"/>
      <c r="R244" s="261" t="n"/>
      <c r="S244" s="261" t="n"/>
      <c r="T244" s="261" t="n"/>
      <c r="U244" s="261" t="n"/>
      <c r="V244" s="261" t="n"/>
      <c r="W244" s="261" t="n"/>
      <c r="X244" s="261" t="n"/>
      <c r="Y244" s="261" t="n"/>
      <c r="Z244" s="253" t="n"/>
      <c r="AB244" s="254" t="n"/>
    </row>
    <row r="245" ht="14" customFormat="1" customHeight="1" s="252">
      <c r="A245" s="237" t="n"/>
      <c r="B245" s="237" t="n"/>
      <c r="C245" s="239" t="n"/>
      <c r="D245" s="237" t="n"/>
      <c r="E245" s="237" t="n"/>
      <c r="F245" s="237" t="n"/>
      <c r="G245" s="237" t="n"/>
      <c r="O245" s="260" t="n"/>
      <c r="P245" s="261" t="n"/>
      <c r="Q245" s="261" t="n"/>
      <c r="R245" s="261" t="n"/>
      <c r="S245" s="261" t="n"/>
      <c r="T245" s="261" t="n"/>
      <c r="U245" s="261" t="n"/>
      <c r="V245" s="261" t="n"/>
      <c r="W245" s="261" t="n"/>
      <c r="X245" s="261" t="n"/>
      <c r="Y245" s="261" t="n"/>
      <c r="Z245" s="253" t="n"/>
      <c r="AB245" s="254" t="n"/>
    </row>
    <row r="246" ht="14" customFormat="1" customHeight="1" s="252">
      <c r="A246" s="237" t="n"/>
      <c r="B246" s="237" t="n"/>
      <c r="C246" s="239" t="n"/>
      <c r="D246" s="237" t="n"/>
      <c r="E246" s="237" t="n"/>
      <c r="F246" s="237" t="n"/>
      <c r="G246" s="237" t="n"/>
      <c r="O246" s="260" t="n"/>
      <c r="P246" s="261" t="n"/>
      <c r="Q246" s="261" t="n"/>
      <c r="R246" s="261" t="n"/>
      <c r="S246" s="261" t="n"/>
      <c r="T246" s="261" t="n"/>
      <c r="U246" s="261" t="n"/>
      <c r="V246" s="261" t="n"/>
      <c r="W246" s="261" t="n"/>
      <c r="X246" s="261" t="n"/>
      <c r="Y246" s="261" t="n"/>
      <c r="Z246" s="253" t="n"/>
      <c r="AB246" s="254" t="n"/>
    </row>
    <row r="247" ht="14" customFormat="1" customHeight="1" s="252">
      <c r="A247" s="237" t="n"/>
      <c r="B247" s="237" t="n"/>
      <c r="C247" s="239" t="n"/>
      <c r="D247" s="237" t="n"/>
      <c r="E247" s="237" t="n"/>
      <c r="F247" s="237" t="n"/>
      <c r="G247" s="237" t="n"/>
      <c r="O247" s="260" t="n"/>
      <c r="P247" s="261" t="n"/>
      <c r="Q247" s="261" t="n"/>
      <c r="R247" s="261" t="n"/>
      <c r="S247" s="261" t="n"/>
      <c r="T247" s="261" t="n"/>
      <c r="U247" s="261" t="n"/>
      <c r="V247" s="261" t="n"/>
      <c r="W247" s="261" t="n"/>
      <c r="X247" s="261" t="n"/>
      <c r="Y247" s="261" t="n"/>
      <c r="Z247" s="253" t="n"/>
      <c r="AB247" s="254" t="n"/>
    </row>
    <row r="248" ht="14" customFormat="1" customHeight="1" s="252">
      <c r="A248" s="237" t="n"/>
      <c r="B248" s="237" t="n"/>
      <c r="C248" s="239" t="n"/>
      <c r="D248" s="237" t="n"/>
      <c r="E248" s="237" t="n"/>
      <c r="F248" s="237" t="n"/>
      <c r="G248" s="237" t="n"/>
      <c r="O248" s="260" t="n"/>
      <c r="P248" s="261" t="n"/>
      <c r="Q248" s="261" t="n"/>
      <c r="R248" s="261" t="n"/>
      <c r="S248" s="261" t="n"/>
      <c r="T248" s="261" t="n"/>
      <c r="U248" s="261" t="n"/>
      <c r="V248" s="261" t="n"/>
      <c r="W248" s="261" t="n"/>
      <c r="X248" s="261" t="n"/>
      <c r="Y248" s="261" t="n"/>
      <c r="Z248" s="253" t="n"/>
      <c r="AB248" s="254" t="n"/>
    </row>
    <row r="249" ht="14" customFormat="1" customHeight="1" s="252">
      <c r="A249" s="237" t="n"/>
      <c r="B249" s="237" t="n"/>
      <c r="C249" s="239" t="n"/>
      <c r="D249" s="237" t="n"/>
      <c r="E249" s="237" t="n"/>
      <c r="F249" s="237" t="n"/>
      <c r="G249" s="237" t="n"/>
      <c r="O249" s="260" t="n"/>
      <c r="P249" s="261" t="n"/>
      <c r="Q249" s="261" t="n"/>
      <c r="R249" s="261" t="n"/>
      <c r="S249" s="261" t="n"/>
      <c r="T249" s="261" t="n"/>
      <c r="U249" s="261" t="n"/>
      <c r="V249" s="261" t="n"/>
      <c r="W249" s="261" t="n"/>
      <c r="X249" s="261" t="n"/>
      <c r="Y249" s="261" t="n"/>
      <c r="Z249" s="253" t="n"/>
      <c r="AB249" s="254" t="n"/>
    </row>
    <row r="250" ht="14" customFormat="1" customHeight="1" s="252">
      <c r="A250" s="237" t="n"/>
      <c r="B250" s="237" t="n"/>
      <c r="C250" s="239" t="n"/>
      <c r="D250" s="237" t="n"/>
      <c r="E250" s="237" t="n"/>
      <c r="F250" s="237" t="n"/>
      <c r="G250" s="237" t="n"/>
      <c r="O250" s="260" t="n"/>
      <c r="P250" s="261" t="n"/>
      <c r="Q250" s="261" t="n"/>
      <c r="R250" s="261" t="n"/>
      <c r="S250" s="261" t="n"/>
      <c r="T250" s="261" t="n"/>
      <c r="U250" s="261" t="n"/>
      <c r="V250" s="261" t="n"/>
      <c r="W250" s="261" t="n"/>
      <c r="X250" s="261" t="n"/>
      <c r="Y250" s="261" t="n"/>
      <c r="Z250" s="253" t="n"/>
      <c r="AB250" s="262" t="n"/>
    </row>
    <row r="251" ht="14" customFormat="1" customHeight="1" s="252">
      <c r="A251" s="237" t="n"/>
      <c r="B251" s="237" t="n"/>
      <c r="C251" s="239" t="n"/>
      <c r="D251" s="237" t="n"/>
      <c r="E251" s="237" t="n"/>
      <c r="F251" s="237" t="n"/>
      <c r="G251" s="237" t="n"/>
      <c r="O251" s="260" t="n"/>
      <c r="P251" s="261" t="n"/>
      <c r="Q251" s="261" t="n"/>
      <c r="R251" s="261" t="n"/>
      <c r="S251" s="261" t="n"/>
      <c r="T251" s="261" t="n"/>
      <c r="U251" s="261" t="n"/>
      <c r="V251" s="261" t="n"/>
      <c r="W251" s="261" t="n"/>
      <c r="X251" s="261" t="n"/>
      <c r="Y251" s="261" t="n"/>
      <c r="Z251" s="253" t="n"/>
      <c r="AB251" s="262" t="n"/>
    </row>
    <row r="252" ht="14" customFormat="1" customHeight="1" s="252">
      <c r="A252" s="237" t="n"/>
      <c r="B252" s="237" t="n"/>
      <c r="C252" s="239" t="n"/>
      <c r="D252" s="237" t="n"/>
      <c r="E252" s="237" t="n"/>
      <c r="F252" s="237" t="n"/>
      <c r="G252" s="237" t="n"/>
      <c r="I252" s="263" t="n"/>
      <c r="O252" s="260" t="n"/>
      <c r="P252" s="261" t="n"/>
      <c r="Q252" s="261" t="n"/>
      <c r="R252" s="261" t="n"/>
      <c r="S252" s="261" t="n"/>
      <c r="T252" s="261" t="n"/>
      <c r="U252" s="261" t="n"/>
      <c r="V252" s="261" t="n"/>
      <c r="W252" s="261" t="n"/>
      <c r="X252" s="261" t="n"/>
      <c r="Y252" s="261" t="n"/>
      <c r="Z252" s="253" t="n"/>
      <c r="AB252" s="254" t="n"/>
    </row>
    <row r="253" ht="14" customFormat="1" customHeight="1" s="252">
      <c r="A253" s="237" t="n"/>
      <c r="B253" s="237" t="n"/>
      <c r="C253" s="239" t="n"/>
      <c r="D253" s="237" t="n"/>
      <c r="E253" s="237" t="n"/>
      <c r="F253" s="237" t="n"/>
      <c r="G253" s="237" t="n"/>
      <c r="O253" s="260" t="n"/>
      <c r="P253" s="261" t="n"/>
      <c r="Q253" s="261" t="n"/>
      <c r="R253" s="261" t="n"/>
      <c r="S253" s="261" t="n"/>
      <c r="T253" s="261" t="n"/>
      <c r="U253" s="261" t="n"/>
      <c r="V253" s="261" t="n"/>
      <c r="W253" s="261" t="n"/>
      <c r="X253" s="261" t="n"/>
      <c r="Y253" s="261" t="n"/>
      <c r="Z253" s="253" t="n"/>
      <c r="AB253" s="254" t="n"/>
    </row>
    <row r="254" ht="14" customFormat="1" customHeight="1" s="252">
      <c r="A254" s="237" t="n"/>
      <c r="B254" s="237" t="n"/>
      <c r="C254" s="239" t="n"/>
      <c r="D254" s="237" t="n"/>
      <c r="E254" s="237" t="n"/>
      <c r="F254" s="237" t="n"/>
      <c r="G254" s="237" t="n"/>
      <c r="O254" s="260" t="n"/>
      <c r="P254" s="261" t="n"/>
      <c r="Q254" s="261" t="n"/>
      <c r="R254" s="261" t="n"/>
      <c r="S254" s="261" t="n"/>
      <c r="T254" s="261" t="n"/>
      <c r="U254" s="261" t="n"/>
      <c r="V254" s="261" t="n"/>
      <c r="W254" s="261" t="n"/>
      <c r="X254" s="261" t="n"/>
      <c r="Y254" s="261" t="n"/>
      <c r="Z254" s="253" t="n"/>
      <c r="AB254" s="262" t="n"/>
    </row>
    <row r="255" ht="14" customFormat="1" customHeight="1" s="252">
      <c r="A255" s="237" t="n"/>
      <c r="B255" s="237" t="n"/>
      <c r="C255" s="239" t="n"/>
      <c r="D255" s="237" t="n"/>
      <c r="E255" s="237" t="n"/>
      <c r="F255" s="237" t="n"/>
      <c r="G255" s="237" t="n"/>
      <c r="O255" s="260" t="n"/>
      <c r="P255" s="261" t="n"/>
      <c r="Q255" s="261" t="n"/>
      <c r="R255" s="261" t="n"/>
      <c r="S255" s="261" t="n"/>
      <c r="T255" s="261" t="n"/>
      <c r="U255" s="261" t="n"/>
      <c r="V255" s="261" t="n"/>
      <c r="W255" s="261" t="n"/>
      <c r="X255" s="261" t="n"/>
      <c r="Y255" s="261" t="n"/>
      <c r="Z255" s="253" t="n"/>
      <c r="AB255" s="254" t="n"/>
    </row>
    <row r="256" ht="14" customFormat="1" customHeight="1" s="252">
      <c r="A256" s="237" t="n"/>
      <c r="B256" s="237" t="n"/>
      <c r="C256" s="239" t="n"/>
      <c r="D256" s="237" t="n"/>
      <c r="E256" s="237" t="n"/>
      <c r="F256" s="237" t="n"/>
      <c r="G256" s="237" t="n"/>
      <c r="O256" s="260" t="n"/>
      <c r="P256" s="261" t="n"/>
      <c r="Q256" s="261" t="n"/>
      <c r="R256" s="261" t="n"/>
      <c r="S256" s="261" t="n"/>
      <c r="T256" s="261" t="n"/>
      <c r="U256" s="261" t="n"/>
      <c r="V256" s="261" t="n"/>
      <c r="W256" s="261" t="n"/>
      <c r="X256" s="261" t="n"/>
      <c r="Y256" s="261" t="n"/>
      <c r="Z256" s="253" t="n"/>
      <c r="AB256" s="254" t="n"/>
    </row>
    <row r="257" ht="14" customFormat="1" customHeight="1" s="252">
      <c r="A257" s="237" t="n"/>
      <c r="B257" s="237" t="n"/>
      <c r="C257" s="239" t="n"/>
      <c r="D257" s="237" t="n"/>
      <c r="E257" s="237" t="n"/>
      <c r="F257" s="237" t="n"/>
      <c r="G257" s="237" t="n"/>
      <c r="O257" s="260" t="n"/>
      <c r="P257" s="261" t="n"/>
      <c r="Q257" s="261" t="n"/>
      <c r="R257" s="261" t="n"/>
      <c r="S257" s="261" t="n"/>
      <c r="T257" s="261" t="n"/>
      <c r="U257" s="261" t="n"/>
      <c r="V257" s="261" t="n"/>
      <c r="W257" s="261" t="n"/>
      <c r="X257" s="261" t="n"/>
      <c r="Y257" s="261" t="n"/>
      <c r="Z257" s="253" t="n"/>
      <c r="AB257" s="262" t="n"/>
    </row>
    <row r="258" ht="14" customFormat="1" customHeight="1" s="252">
      <c r="A258" s="237" t="n"/>
      <c r="B258" s="237" t="n"/>
      <c r="C258" s="239" t="n"/>
      <c r="D258" s="237" t="n"/>
      <c r="E258" s="237" t="n"/>
      <c r="F258" s="237" t="n"/>
      <c r="G258" s="237" t="n"/>
      <c r="O258" s="260" t="n"/>
      <c r="P258" s="261" t="n"/>
      <c r="Q258" s="261" t="n"/>
      <c r="R258" s="261" t="n"/>
      <c r="S258" s="261" t="n"/>
      <c r="T258" s="261" t="n"/>
      <c r="U258" s="261" t="n"/>
      <c r="V258" s="261" t="n"/>
      <c r="W258" s="261" t="n"/>
      <c r="X258" s="261" t="n"/>
      <c r="Y258" s="261" t="n"/>
      <c r="Z258" s="253" t="n"/>
      <c r="AB258" s="254" t="n"/>
    </row>
    <row r="259" ht="14" customFormat="1" customHeight="1" s="252">
      <c r="A259" s="237" t="n"/>
      <c r="B259" s="237" t="n"/>
      <c r="C259" s="239" t="n"/>
      <c r="D259" s="237" t="n"/>
      <c r="E259" s="237" t="n"/>
      <c r="F259" s="237" t="n"/>
      <c r="G259" s="237" t="n"/>
      <c r="O259" s="260" t="n"/>
      <c r="P259" s="261" t="n"/>
      <c r="Q259" s="261" t="n"/>
      <c r="R259" s="261" t="n"/>
      <c r="S259" s="261" t="n"/>
      <c r="T259" s="261" t="n"/>
      <c r="U259" s="261" t="n"/>
      <c r="V259" s="261" t="n"/>
      <c r="W259" s="261" t="n"/>
      <c r="X259" s="261" t="n"/>
      <c r="Y259" s="261" t="n"/>
      <c r="Z259" s="253" t="n"/>
      <c r="AB259" s="254" t="n"/>
    </row>
    <row r="260" ht="14" customFormat="1" customHeight="1" s="252">
      <c r="A260" s="237" t="n"/>
      <c r="B260" s="237" t="n"/>
      <c r="C260" s="239" t="n"/>
      <c r="D260" s="237" t="n"/>
      <c r="E260" s="237" t="n"/>
      <c r="F260" s="237" t="n"/>
      <c r="G260" s="237" t="n"/>
      <c r="O260" s="260" t="n"/>
      <c r="P260" s="261" t="n"/>
      <c r="Q260" s="261" t="n"/>
      <c r="R260" s="261" t="n"/>
      <c r="S260" s="261" t="n"/>
      <c r="T260" s="261" t="n"/>
      <c r="U260" s="261" t="n"/>
      <c r="V260" s="261" t="n"/>
      <c r="W260" s="261" t="n"/>
      <c r="X260" s="261" t="n"/>
      <c r="Y260" s="261" t="n"/>
      <c r="Z260" s="253" t="n"/>
      <c r="AB260" s="262" t="n"/>
    </row>
    <row r="261" ht="14" customFormat="1" customHeight="1" s="252">
      <c r="A261" s="237" t="n"/>
      <c r="B261" s="237" t="n"/>
      <c r="C261" s="239" t="n"/>
      <c r="D261" s="237" t="n"/>
      <c r="E261" s="237" t="n"/>
      <c r="F261" s="237" t="n"/>
      <c r="G261" s="237" t="n"/>
      <c r="O261" s="260" t="n"/>
      <c r="P261" s="261" t="n"/>
      <c r="Q261" s="261" t="n"/>
      <c r="R261" s="261" t="n"/>
      <c r="S261" s="261" t="n"/>
      <c r="T261" s="261" t="n"/>
      <c r="U261" s="261" t="n"/>
      <c r="V261" s="261" t="n"/>
      <c r="W261" s="261" t="n"/>
      <c r="X261" s="261" t="n"/>
      <c r="Y261" s="261" t="n"/>
      <c r="Z261" s="253" t="n"/>
      <c r="AB261" s="254" t="n"/>
    </row>
    <row r="262" ht="14" customFormat="1" customHeight="1" s="252">
      <c r="A262" s="237" t="n"/>
      <c r="B262" s="237" t="n"/>
      <c r="C262" s="239" t="n"/>
      <c r="D262" s="237" t="n"/>
      <c r="E262" s="237" t="n"/>
      <c r="F262" s="237" t="n"/>
      <c r="G262" s="237" t="n"/>
      <c r="O262" s="260" t="n"/>
      <c r="P262" s="261" t="n"/>
      <c r="Q262" s="261" t="n"/>
      <c r="R262" s="261" t="n"/>
      <c r="S262" s="261" t="n"/>
      <c r="T262" s="261" t="n"/>
      <c r="U262" s="261" t="n"/>
      <c r="V262" s="261" t="n"/>
      <c r="W262" s="261" t="n"/>
      <c r="X262" s="261" t="n"/>
      <c r="Y262" s="261" t="n"/>
      <c r="Z262" s="253" t="n"/>
      <c r="AB262" s="254" t="n"/>
    </row>
    <row r="263" ht="14" customFormat="1" customHeight="1" s="252">
      <c r="A263" s="237" t="n"/>
      <c r="B263" s="237" t="n"/>
      <c r="C263" s="239" t="n"/>
      <c r="D263" s="237" t="n"/>
      <c r="E263" s="237" t="n"/>
      <c r="F263" s="237" t="n"/>
      <c r="G263" s="237" t="n"/>
      <c r="O263" s="260" t="n"/>
      <c r="P263" s="261" t="n"/>
      <c r="Q263" s="261" t="n"/>
      <c r="R263" s="261" t="n"/>
      <c r="S263" s="261" t="n"/>
      <c r="T263" s="261" t="n"/>
      <c r="U263" s="261" t="n"/>
      <c r="V263" s="261" t="n"/>
      <c r="W263" s="261" t="n"/>
      <c r="X263" s="261" t="n"/>
      <c r="Y263" s="261" t="n"/>
      <c r="Z263" s="253" t="n"/>
      <c r="AB263" s="254" t="n"/>
    </row>
    <row r="264" ht="14" customFormat="1" customHeight="1" s="252">
      <c r="A264" s="237" t="n"/>
      <c r="B264" s="237" t="n"/>
      <c r="C264" s="239" t="n"/>
      <c r="D264" s="237" t="n"/>
      <c r="E264" s="237" t="n"/>
      <c r="F264" s="237" t="n"/>
      <c r="G264" s="237" t="n"/>
      <c r="O264" s="260" t="n"/>
      <c r="P264" s="261" t="n"/>
      <c r="Q264" s="261" t="n"/>
      <c r="R264" s="261" t="n"/>
      <c r="S264" s="261" t="n"/>
      <c r="T264" s="261" t="n"/>
      <c r="U264" s="261" t="n"/>
      <c r="V264" s="261" t="n"/>
      <c r="W264" s="261" t="n"/>
      <c r="X264" s="261" t="n"/>
      <c r="Y264" s="261" t="n"/>
      <c r="Z264" s="253" t="n"/>
      <c r="AB264" s="254" t="n"/>
    </row>
    <row r="265" ht="14" customFormat="1" customHeight="1" s="252">
      <c r="A265" s="237" t="n"/>
      <c r="B265" s="237" t="n"/>
      <c r="C265" s="239" t="n"/>
      <c r="D265" s="237" t="n"/>
      <c r="E265" s="237" t="n"/>
      <c r="F265" s="237" t="n"/>
      <c r="G265" s="237" t="n"/>
      <c r="O265" s="260" t="n"/>
      <c r="P265" s="261" t="n"/>
      <c r="Q265" s="261" t="n"/>
      <c r="R265" s="261" t="n"/>
      <c r="S265" s="261" t="n"/>
      <c r="T265" s="261" t="n"/>
      <c r="U265" s="261" t="n"/>
      <c r="V265" s="261" t="n"/>
      <c r="W265" s="261" t="n"/>
      <c r="X265" s="261" t="n"/>
      <c r="Y265" s="261" t="n"/>
      <c r="Z265" s="253" t="n"/>
      <c r="AB265" s="254" t="n"/>
    </row>
    <row r="266" ht="14" customFormat="1" customHeight="1" s="252">
      <c r="A266" s="237" t="n"/>
      <c r="B266" s="237" t="n"/>
      <c r="C266" s="239" t="n"/>
      <c r="D266" s="237" t="n"/>
      <c r="E266" s="237" t="n"/>
      <c r="F266" s="237" t="n"/>
      <c r="G266" s="237" t="n"/>
      <c r="O266" s="260" t="n"/>
      <c r="P266" s="261" t="n"/>
      <c r="Q266" s="261" t="n"/>
      <c r="R266" s="261" t="n"/>
      <c r="S266" s="261" t="n"/>
      <c r="T266" s="261" t="n"/>
      <c r="U266" s="261" t="n"/>
      <c r="V266" s="261" t="n"/>
      <c r="W266" s="261" t="n"/>
      <c r="X266" s="261" t="n"/>
      <c r="Y266" s="261" t="n"/>
      <c r="Z266" s="253" t="n"/>
      <c r="AB266" s="254" t="n"/>
    </row>
    <row r="267" ht="14" customFormat="1" customHeight="1" s="252">
      <c r="A267" s="237" t="n"/>
      <c r="B267" s="237" t="n"/>
      <c r="C267" s="239" t="n"/>
      <c r="D267" s="237" t="n"/>
      <c r="E267" s="237" t="n"/>
      <c r="F267" s="237" t="n"/>
      <c r="G267" s="237" t="n"/>
      <c r="O267" s="260" t="n"/>
      <c r="P267" s="261" t="n"/>
      <c r="Q267" s="261" t="n"/>
      <c r="R267" s="261" t="n"/>
      <c r="S267" s="261" t="n"/>
      <c r="T267" s="261" t="n"/>
      <c r="U267" s="261" t="n"/>
      <c r="V267" s="261" t="n"/>
      <c r="W267" s="261" t="n"/>
      <c r="X267" s="261" t="n"/>
      <c r="Y267" s="261" t="n"/>
      <c r="Z267" s="253" t="n"/>
      <c r="AB267" s="254" t="n"/>
    </row>
    <row r="268" ht="14" customFormat="1" customHeight="1" s="252">
      <c r="A268" s="237" t="n"/>
      <c r="B268" s="237" t="n"/>
      <c r="C268" s="239" t="n"/>
      <c r="D268" s="237" t="n"/>
      <c r="E268" s="237" t="n"/>
      <c r="F268" s="237" t="n"/>
      <c r="G268" s="237" t="n"/>
      <c r="O268" s="260" t="n"/>
      <c r="P268" s="261" t="n"/>
      <c r="Q268" s="261" t="n"/>
      <c r="R268" s="261" t="n"/>
      <c r="S268" s="261" t="n"/>
      <c r="T268" s="261" t="n"/>
      <c r="U268" s="261" t="n"/>
      <c r="V268" s="261" t="n"/>
      <c r="W268" s="261" t="n"/>
      <c r="X268" s="261" t="n"/>
      <c r="Y268" s="261" t="n"/>
      <c r="Z268" s="253" t="n"/>
      <c r="AB268" s="262" t="n"/>
    </row>
    <row r="269" ht="14" customFormat="1" customHeight="1" s="252">
      <c r="A269" s="237" t="n"/>
      <c r="B269" s="237" t="n"/>
      <c r="C269" s="239" t="n"/>
      <c r="D269" s="237" t="n"/>
      <c r="E269" s="237" t="n"/>
      <c r="F269" s="237" t="n"/>
      <c r="G269" s="237" t="n"/>
      <c r="O269" s="260" t="n"/>
      <c r="P269" s="261" t="n"/>
      <c r="Q269" s="261" t="n"/>
      <c r="R269" s="261" t="n"/>
      <c r="S269" s="261" t="n"/>
      <c r="T269" s="261" t="n"/>
      <c r="U269" s="261" t="n"/>
      <c r="V269" s="261" t="n"/>
      <c r="W269" s="261" t="n"/>
      <c r="X269" s="261" t="n"/>
      <c r="Y269" s="261" t="n"/>
      <c r="Z269" s="253" t="n"/>
      <c r="AB269" s="262" t="n"/>
    </row>
    <row r="270" ht="14" customFormat="1" customHeight="1" s="252">
      <c r="A270" s="237" t="n"/>
      <c r="B270" s="237" t="n"/>
      <c r="C270" s="239" t="n"/>
      <c r="D270" s="237" t="n"/>
      <c r="E270" s="237" t="n"/>
      <c r="F270" s="237" t="n"/>
      <c r="G270" s="237" t="n"/>
      <c r="O270" s="260" t="n"/>
      <c r="P270" s="261" t="n"/>
      <c r="Q270" s="261" t="n"/>
      <c r="R270" s="261" t="n"/>
      <c r="S270" s="261" t="n"/>
      <c r="T270" s="261" t="n"/>
      <c r="U270" s="261" t="n"/>
      <c r="V270" s="261" t="n"/>
      <c r="W270" s="261" t="n"/>
      <c r="X270" s="261" t="n"/>
      <c r="Y270" s="261" t="n"/>
      <c r="Z270" s="253" t="n"/>
      <c r="AB270" s="254" t="n"/>
    </row>
    <row r="271" ht="14" customFormat="1" customHeight="1" s="252">
      <c r="A271" s="237" t="n"/>
      <c r="B271" s="237" t="n"/>
      <c r="C271" s="239" t="n"/>
      <c r="D271" s="237" t="n"/>
      <c r="E271" s="237" t="n"/>
      <c r="F271" s="237" t="n"/>
      <c r="G271" s="237" t="n"/>
      <c r="O271" s="260" t="n"/>
      <c r="P271" s="261" t="n"/>
      <c r="Q271" s="261" t="n"/>
      <c r="R271" s="261" t="n"/>
      <c r="S271" s="261" t="n"/>
      <c r="T271" s="261" t="n"/>
      <c r="U271" s="261" t="n"/>
      <c r="V271" s="261" t="n"/>
      <c r="W271" s="261" t="n"/>
      <c r="X271" s="261" t="n"/>
      <c r="Y271" s="261" t="n"/>
      <c r="Z271" s="253" t="n"/>
      <c r="AB271" s="254" t="n"/>
    </row>
    <row r="272" ht="14" customFormat="1" customHeight="1" s="252">
      <c r="A272" s="237" t="n"/>
      <c r="B272" s="237" t="n"/>
      <c r="C272" s="239" t="n"/>
      <c r="D272" s="237" t="n"/>
      <c r="E272" s="237" t="n"/>
      <c r="F272" s="237" t="n"/>
      <c r="G272" s="237" t="n"/>
      <c r="O272" s="260" t="n"/>
      <c r="P272" s="261" t="n"/>
      <c r="Q272" s="261" t="n"/>
      <c r="R272" s="261" t="n"/>
      <c r="S272" s="261" t="n"/>
      <c r="T272" s="261" t="n"/>
      <c r="U272" s="261" t="n"/>
      <c r="V272" s="261" t="n"/>
      <c r="W272" s="261" t="n"/>
      <c r="X272" s="261" t="n"/>
      <c r="Y272" s="261" t="n"/>
      <c r="Z272" s="253" t="n"/>
      <c r="AB272" s="254" t="n"/>
    </row>
    <row r="273" ht="14" customFormat="1" customHeight="1" s="252">
      <c r="A273" s="237" t="n"/>
      <c r="B273" s="237" t="n"/>
      <c r="C273" s="239" t="n"/>
      <c r="D273" s="237" t="n"/>
      <c r="E273" s="237" t="n"/>
      <c r="F273" s="237" t="n"/>
      <c r="G273" s="237" t="n"/>
      <c r="O273" s="260" t="n"/>
      <c r="P273" s="261" t="n"/>
      <c r="Q273" s="261" t="n"/>
      <c r="R273" s="261" t="n"/>
      <c r="S273" s="261" t="n"/>
      <c r="T273" s="261" t="n"/>
      <c r="U273" s="261" t="n"/>
      <c r="V273" s="261" t="n"/>
      <c r="W273" s="261" t="n"/>
      <c r="X273" s="261" t="n"/>
      <c r="Y273" s="261" t="n"/>
      <c r="Z273" s="253" t="n"/>
      <c r="AB273" s="254" t="n"/>
    </row>
    <row r="274" ht="14" customFormat="1" customHeight="1" s="252">
      <c r="A274" s="237" t="n"/>
      <c r="B274" s="237" t="n"/>
      <c r="C274" s="239" t="n"/>
      <c r="D274" s="237" t="n"/>
      <c r="E274" s="237" t="n"/>
      <c r="F274" s="237" t="n"/>
      <c r="G274" s="237" t="n"/>
      <c r="O274" s="260" t="n"/>
      <c r="P274" s="261" t="n"/>
      <c r="Q274" s="261" t="n"/>
      <c r="R274" s="261" t="n"/>
      <c r="S274" s="261" t="n"/>
      <c r="T274" s="261" t="n"/>
      <c r="U274" s="261" t="n"/>
      <c r="V274" s="261" t="n"/>
      <c r="W274" s="261" t="n"/>
      <c r="X274" s="261" t="n"/>
      <c r="Y274" s="261" t="n"/>
      <c r="Z274" s="253" t="n"/>
      <c r="AB274" s="254" t="n"/>
    </row>
    <row r="275" ht="14" customFormat="1" customHeight="1" s="252">
      <c r="A275" s="237" t="n"/>
      <c r="B275" s="237" t="n"/>
      <c r="C275" s="239" t="n"/>
      <c r="D275" s="237" t="n"/>
      <c r="E275" s="237" t="n"/>
      <c r="F275" s="237" t="n"/>
      <c r="G275" s="237" t="n"/>
      <c r="O275" s="260" t="n"/>
      <c r="P275" s="261" t="n"/>
      <c r="Q275" s="261" t="n"/>
      <c r="R275" s="261" t="n"/>
      <c r="S275" s="261" t="n"/>
      <c r="T275" s="261" t="n"/>
      <c r="U275" s="261" t="n"/>
      <c r="V275" s="261" t="n"/>
      <c r="W275" s="261" t="n"/>
      <c r="X275" s="261" t="n"/>
      <c r="Y275" s="261" t="n"/>
      <c r="Z275" s="253" t="n"/>
      <c r="AB275" s="254" t="n"/>
    </row>
    <row r="276" ht="14" customFormat="1" customHeight="1" s="252">
      <c r="A276" s="237" t="n"/>
      <c r="B276" s="237" t="n"/>
      <c r="C276" s="239" t="n"/>
      <c r="D276" s="237" t="n"/>
      <c r="E276" s="237" t="n"/>
      <c r="F276" s="237" t="n"/>
      <c r="G276" s="237" t="n"/>
      <c r="O276" s="260" t="n"/>
      <c r="P276" s="261" t="n"/>
      <c r="Q276" s="261" t="n"/>
      <c r="R276" s="261" t="n"/>
      <c r="S276" s="261" t="n"/>
      <c r="T276" s="261" t="n"/>
      <c r="U276" s="261" t="n"/>
      <c r="V276" s="261" t="n"/>
      <c r="W276" s="261" t="n"/>
      <c r="X276" s="261" t="n"/>
      <c r="Y276" s="261" t="n"/>
      <c r="Z276" s="253" t="n"/>
      <c r="AB276" s="254" t="n"/>
    </row>
    <row r="277" ht="14" customFormat="1" customHeight="1" s="252">
      <c r="A277" s="237" t="n"/>
      <c r="B277" s="237" t="n"/>
      <c r="C277" s="239" t="n"/>
      <c r="D277" s="237" t="n"/>
      <c r="E277" s="237" t="n"/>
      <c r="F277" s="237" t="n"/>
      <c r="G277" s="237" t="n"/>
      <c r="O277" s="260" t="n"/>
      <c r="P277" s="261" t="n"/>
      <c r="Q277" s="261" t="n"/>
      <c r="R277" s="261" t="n"/>
      <c r="S277" s="261" t="n"/>
      <c r="T277" s="261" t="n"/>
      <c r="U277" s="261" t="n"/>
      <c r="V277" s="261" t="n"/>
      <c r="W277" s="261" t="n"/>
      <c r="X277" s="261" t="n"/>
      <c r="Y277" s="261" t="n"/>
      <c r="Z277" s="253" t="n"/>
      <c r="AB277" s="254" t="n"/>
    </row>
    <row r="278" ht="14" customFormat="1" customHeight="1" s="252">
      <c r="A278" s="237" t="n"/>
      <c r="B278" s="237" t="n"/>
      <c r="C278" s="239" t="n"/>
      <c r="D278" s="237" t="n"/>
      <c r="E278" s="237" t="n"/>
      <c r="F278" s="237" t="n"/>
      <c r="G278" s="237" t="n"/>
      <c r="O278" s="260" t="n"/>
      <c r="P278" s="261" t="n"/>
      <c r="Q278" s="261" t="n"/>
      <c r="R278" s="261" t="n"/>
      <c r="S278" s="261" t="n"/>
      <c r="T278" s="261" t="n"/>
      <c r="U278" s="261" t="n"/>
      <c r="V278" s="261" t="n"/>
      <c r="W278" s="261" t="n"/>
      <c r="X278" s="261" t="n"/>
      <c r="Y278" s="261" t="n"/>
      <c r="Z278" s="253" t="n"/>
      <c r="AB278" s="262" t="n"/>
    </row>
    <row r="279" ht="14" customFormat="1" customHeight="1" s="252">
      <c r="A279" s="237" t="n"/>
      <c r="B279" s="237" t="n"/>
      <c r="C279" s="239" t="n"/>
      <c r="D279" s="237" t="n"/>
      <c r="E279" s="237" t="n"/>
      <c r="F279" s="237" t="n"/>
      <c r="G279" s="237" t="n"/>
      <c r="O279" s="260" t="n"/>
      <c r="P279" s="261" t="n"/>
      <c r="Q279" s="261" t="n"/>
      <c r="R279" s="261" t="n"/>
      <c r="S279" s="261" t="n"/>
      <c r="T279" s="261" t="n"/>
      <c r="U279" s="261" t="n"/>
      <c r="V279" s="261" t="n"/>
      <c r="W279" s="261" t="n"/>
      <c r="X279" s="261" t="n"/>
      <c r="Y279" s="261" t="n"/>
      <c r="Z279" s="253" t="n"/>
      <c r="AB279" s="254" t="n"/>
    </row>
    <row r="280" ht="14" customFormat="1" customHeight="1" s="252">
      <c r="A280" s="237" t="n"/>
      <c r="B280" s="237" t="n"/>
      <c r="C280" s="239" t="n"/>
      <c r="D280" s="237" t="n"/>
      <c r="E280" s="237" t="n"/>
      <c r="F280" s="237" t="n"/>
      <c r="G280" s="237" t="n"/>
      <c r="O280" s="260" t="n"/>
      <c r="P280" s="261" t="n"/>
      <c r="Q280" s="261" t="n"/>
      <c r="R280" s="261" t="n"/>
      <c r="S280" s="261" t="n"/>
      <c r="T280" s="261" t="n"/>
      <c r="U280" s="261" t="n"/>
      <c r="V280" s="261" t="n"/>
      <c r="W280" s="261" t="n"/>
      <c r="X280" s="261" t="n"/>
      <c r="Y280" s="261" t="n"/>
      <c r="Z280" s="253" t="n"/>
      <c r="AB280" s="262" t="n"/>
    </row>
    <row r="281" ht="14" customFormat="1" customHeight="1" s="252">
      <c r="A281" s="237" t="n"/>
      <c r="B281" s="237" t="n"/>
      <c r="C281" s="239" t="n"/>
      <c r="D281" s="237" t="n"/>
      <c r="E281" s="237" t="n"/>
      <c r="F281" s="237" t="n"/>
      <c r="G281" s="237" t="n"/>
      <c r="O281" s="260" t="n"/>
      <c r="P281" s="261" t="n"/>
      <c r="Q281" s="261" t="n"/>
      <c r="R281" s="261" t="n"/>
      <c r="S281" s="261" t="n"/>
      <c r="T281" s="261" t="n"/>
      <c r="U281" s="261" t="n"/>
      <c r="V281" s="261" t="n"/>
      <c r="W281" s="261" t="n"/>
      <c r="X281" s="261" t="n"/>
      <c r="Y281" s="261" t="n"/>
      <c r="Z281" s="253" t="n"/>
      <c r="AB281" s="254" t="n"/>
    </row>
    <row r="282" ht="14" customFormat="1" customHeight="1" s="252">
      <c r="A282" s="237" t="n"/>
      <c r="B282" s="237" t="n"/>
      <c r="C282" s="239" t="n"/>
      <c r="D282" s="237" t="n"/>
      <c r="E282" s="237" t="n"/>
      <c r="F282" s="237" t="n"/>
      <c r="G282" s="237" t="n"/>
      <c r="O282" s="260" t="n"/>
      <c r="P282" s="261" t="n"/>
      <c r="Q282" s="261" t="n"/>
      <c r="R282" s="261" t="n"/>
      <c r="S282" s="261" t="n"/>
      <c r="T282" s="261" t="n"/>
      <c r="U282" s="261" t="n"/>
      <c r="V282" s="261" t="n"/>
      <c r="W282" s="261" t="n"/>
      <c r="X282" s="261" t="n"/>
      <c r="Y282" s="261" t="n"/>
      <c r="Z282" s="253" t="n"/>
      <c r="AB282" s="254" t="n"/>
    </row>
    <row r="283" ht="14" customFormat="1" customHeight="1" s="252">
      <c r="A283" s="237" t="n"/>
      <c r="B283" s="237" t="n"/>
      <c r="C283" s="239" t="n"/>
      <c r="D283" s="237" t="n"/>
      <c r="E283" s="237" t="n"/>
      <c r="F283" s="237" t="n"/>
      <c r="G283" s="237" t="n"/>
      <c r="O283" s="260" t="n"/>
      <c r="P283" s="261" t="n"/>
      <c r="Q283" s="261" t="n"/>
      <c r="R283" s="261" t="n"/>
      <c r="S283" s="261" t="n"/>
      <c r="T283" s="261" t="n"/>
      <c r="U283" s="261" t="n"/>
      <c r="V283" s="261" t="n"/>
      <c r="W283" s="261" t="n"/>
      <c r="X283" s="261" t="n"/>
      <c r="Y283" s="261" t="n"/>
      <c r="Z283" s="253" t="n"/>
      <c r="AB283" s="254" t="n"/>
    </row>
    <row r="284" ht="14" customFormat="1" customHeight="1" s="252">
      <c r="A284" s="237" t="n"/>
      <c r="B284" s="237" t="n"/>
      <c r="C284" s="239" t="n"/>
      <c r="D284" s="237" t="n"/>
      <c r="E284" s="237" t="n"/>
      <c r="F284" s="237" t="n"/>
      <c r="G284" s="237" t="n"/>
      <c r="O284" s="260" t="n"/>
      <c r="P284" s="261" t="n"/>
      <c r="Q284" s="261" t="n"/>
      <c r="R284" s="261" t="n"/>
      <c r="S284" s="261" t="n"/>
      <c r="T284" s="261" t="n"/>
      <c r="U284" s="261" t="n"/>
      <c r="V284" s="261" t="n"/>
      <c r="W284" s="261" t="n"/>
      <c r="X284" s="261" t="n"/>
      <c r="Y284" s="261" t="n"/>
      <c r="Z284" s="253" t="n"/>
      <c r="AB284" s="254" t="n"/>
    </row>
    <row r="285" ht="14" customFormat="1" customHeight="1" s="252">
      <c r="A285" s="237" t="n"/>
      <c r="B285" s="237" t="n"/>
      <c r="C285" s="239" t="n"/>
      <c r="D285" s="237" t="n"/>
      <c r="E285" s="237" t="n"/>
      <c r="F285" s="237" t="n"/>
      <c r="G285" s="237" t="n"/>
      <c r="O285" s="260" t="n"/>
      <c r="P285" s="261" t="n"/>
      <c r="Q285" s="261" t="n"/>
      <c r="R285" s="261" t="n"/>
      <c r="S285" s="261" t="n"/>
      <c r="T285" s="261" t="n"/>
      <c r="U285" s="261" t="n"/>
      <c r="V285" s="261" t="n"/>
      <c r="W285" s="261" t="n"/>
      <c r="X285" s="261" t="n"/>
      <c r="Y285" s="261" t="n"/>
      <c r="Z285" s="253" t="n"/>
      <c r="AB285" s="254" t="n"/>
    </row>
    <row r="286" ht="14" customFormat="1" customHeight="1" s="252">
      <c r="A286" s="237" t="n"/>
      <c r="B286" s="237" t="n"/>
      <c r="C286" s="239" t="n"/>
      <c r="D286" s="237" t="n"/>
      <c r="E286" s="237" t="n"/>
      <c r="F286" s="237" t="n"/>
      <c r="G286" s="237" t="n"/>
      <c r="O286" s="260" t="n"/>
      <c r="P286" s="261" t="n"/>
      <c r="Q286" s="261" t="n"/>
      <c r="R286" s="261" t="n"/>
      <c r="S286" s="261" t="n"/>
      <c r="T286" s="261" t="n"/>
      <c r="U286" s="261" t="n"/>
      <c r="V286" s="261" t="n"/>
      <c r="W286" s="261" t="n"/>
      <c r="X286" s="261" t="n"/>
      <c r="Y286" s="261" t="n"/>
      <c r="Z286" s="253" t="n"/>
      <c r="AB286" s="254" t="n"/>
    </row>
    <row r="287" ht="14" customFormat="1" customHeight="1" s="252">
      <c r="A287" s="237" t="n"/>
      <c r="B287" s="237" t="n"/>
      <c r="C287" s="239" t="n"/>
      <c r="D287" s="237" t="n"/>
      <c r="E287" s="237" t="n"/>
      <c r="F287" s="237" t="n"/>
      <c r="G287" s="237" t="n"/>
      <c r="O287" s="260" t="n"/>
      <c r="P287" s="261" t="n"/>
      <c r="Q287" s="261" t="n"/>
      <c r="R287" s="261" t="n"/>
      <c r="S287" s="261" t="n"/>
      <c r="T287" s="261" t="n"/>
      <c r="U287" s="261" t="n"/>
      <c r="V287" s="261" t="n"/>
      <c r="W287" s="261" t="n"/>
      <c r="X287" s="261" t="n"/>
      <c r="Y287" s="261" t="n"/>
      <c r="Z287" s="253" t="n"/>
      <c r="AB287" s="254" t="n"/>
    </row>
    <row r="288" ht="14" customFormat="1" customHeight="1" s="252">
      <c r="A288" s="237" t="n"/>
      <c r="B288" s="237" t="n"/>
      <c r="C288" s="239" t="n"/>
      <c r="D288" s="237" t="n"/>
      <c r="E288" s="237" t="n"/>
      <c r="F288" s="237" t="n"/>
      <c r="G288" s="237" t="n"/>
      <c r="O288" s="260" t="n"/>
      <c r="P288" s="261" t="n"/>
      <c r="Q288" s="261" t="n"/>
      <c r="R288" s="261" t="n"/>
      <c r="S288" s="261" t="n"/>
      <c r="T288" s="261" t="n"/>
      <c r="U288" s="261" t="n"/>
      <c r="V288" s="261" t="n"/>
      <c r="W288" s="261" t="n"/>
      <c r="X288" s="261" t="n"/>
      <c r="Y288" s="261" t="n"/>
      <c r="Z288" s="253" t="n"/>
      <c r="AB288" s="254" t="n"/>
    </row>
    <row r="289" ht="14" customFormat="1" customHeight="1" s="252">
      <c r="A289" s="237" t="n"/>
      <c r="B289" s="237" t="n"/>
      <c r="C289" s="239" t="n"/>
      <c r="D289" s="237" t="n"/>
      <c r="E289" s="237" t="n"/>
      <c r="F289" s="237" t="n"/>
      <c r="G289" s="237" t="n"/>
      <c r="O289" s="260" t="n"/>
      <c r="P289" s="261" t="n"/>
      <c r="Q289" s="261" t="n"/>
      <c r="R289" s="261" t="n"/>
      <c r="S289" s="261" t="n"/>
      <c r="T289" s="261" t="n"/>
      <c r="U289" s="261" t="n"/>
      <c r="V289" s="261" t="n"/>
      <c r="W289" s="261" t="n"/>
      <c r="X289" s="261" t="n"/>
      <c r="Y289" s="261" t="n"/>
      <c r="Z289" s="253" t="n"/>
      <c r="AB289" s="254" t="n"/>
    </row>
    <row r="290" ht="14" customFormat="1" customHeight="1" s="252">
      <c r="A290" s="237" t="n"/>
      <c r="B290" s="237" t="n"/>
      <c r="C290" s="239" t="n"/>
      <c r="D290" s="237" t="n"/>
      <c r="E290" s="237" t="n"/>
      <c r="F290" s="237" t="n"/>
      <c r="G290" s="237" t="n"/>
      <c r="O290" s="260" t="n"/>
      <c r="P290" s="261" t="n"/>
      <c r="Q290" s="261" t="n"/>
      <c r="R290" s="261" t="n"/>
      <c r="S290" s="261" t="n"/>
      <c r="T290" s="261" t="n"/>
      <c r="U290" s="261" t="n"/>
      <c r="V290" s="261" t="n"/>
      <c r="W290" s="261" t="n"/>
      <c r="X290" s="261" t="n"/>
      <c r="Y290" s="261" t="n"/>
      <c r="Z290" s="253" t="n"/>
      <c r="AB290" s="262" t="n"/>
    </row>
    <row r="291" ht="14" customFormat="1" customHeight="1" s="252">
      <c r="A291" s="237" t="n"/>
      <c r="B291" s="237" t="n"/>
      <c r="C291" s="239" t="n"/>
      <c r="D291" s="237" t="n"/>
      <c r="E291" s="237" t="n"/>
      <c r="F291" s="237" t="n"/>
      <c r="G291" s="237" t="n"/>
      <c r="O291" s="260" t="n"/>
      <c r="P291" s="261" t="n"/>
      <c r="Q291" s="261" t="n"/>
      <c r="R291" s="261" t="n"/>
      <c r="S291" s="261" t="n"/>
      <c r="T291" s="261" t="n"/>
      <c r="U291" s="261" t="n"/>
      <c r="V291" s="261" t="n"/>
      <c r="W291" s="261" t="n"/>
      <c r="X291" s="261" t="n"/>
      <c r="Y291" s="261" t="n"/>
      <c r="Z291" s="253" t="n"/>
      <c r="AB291" s="254" t="n"/>
    </row>
    <row r="292" ht="14" customFormat="1" customHeight="1" s="252">
      <c r="A292" s="237" t="n"/>
      <c r="B292" s="237" t="n"/>
      <c r="C292" s="239" t="n"/>
      <c r="D292" s="237" t="n"/>
      <c r="E292" s="237" t="n"/>
      <c r="F292" s="237" t="n"/>
      <c r="G292" s="237" t="n"/>
      <c r="O292" s="260" t="n"/>
      <c r="P292" s="261" t="n"/>
      <c r="Q292" s="261" t="n"/>
      <c r="R292" s="261" t="n"/>
      <c r="S292" s="261" t="n"/>
      <c r="T292" s="261" t="n"/>
      <c r="U292" s="261" t="n"/>
      <c r="V292" s="261" t="n"/>
      <c r="W292" s="261" t="n"/>
      <c r="X292" s="261" t="n"/>
      <c r="Y292" s="261" t="n"/>
      <c r="Z292" s="253" t="n"/>
      <c r="AB292" s="254" t="n"/>
    </row>
    <row r="293" ht="14" customFormat="1" customHeight="1" s="252">
      <c r="A293" s="237" t="n"/>
      <c r="B293" s="237" t="n"/>
      <c r="C293" s="239" t="n"/>
      <c r="D293" s="237" t="n"/>
      <c r="E293" s="237" t="n"/>
      <c r="F293" s="237" t="n"/>
      <c r="G293" s="237" t="n"/>
      <c r="O293" s="260" t="n"/>
      <c r="P293" s="261" t="n"/>
      <c r="Q293" s="261" t="n"/>
      <c r="R293" s="261" t="n"/>
      <c r="S293" s="261" t="n"/>
      <c r="T293" s="261" t="n"/>
      <c r="U293" s="261" t="n"/>
      <c r="V293" s="261" t="n"/>
      <c r="W293" s="261" t="n"/>
      <c r="X293" s="261" t="n"/>
      <c r="Y293" s="261" t="n"/>
      <c r="Z293" s="253" t="n"/>
      <c r="AB293" s="254" t="n"/>
    </row>
    <row r="294" ht="14" customFormat="1" customHeight="1" s="252">
      <c r="A294" s="237" t="n"/>
      <c r="B294" s="237" t="n"/>
      <c r="C294" s="239" t="n"/>
      <c r="D294" s="237" t="n"/>
      <c r="E294" s="237" t="n"/>
      <c r="F294" s="237" t="n"/>
      <c r="G294" s="237" t="n"/>
      <c r="O294" s="260" t="n"/>
      <c r="P294" s="261" t="n"/>
      <c r="Q294" s="261" t="n"/>
      <c r="R294" s="261" t="n"/>
      <c r="S294" s="261" t="n"/>
      <c r="T294" s="261" t="n"/>
      <c r="U294" s="261" t="n"/>
      <c r="V294" s="261" t="n"/>
      <c r="W294" s="261" t="n"/>
      <c r="X294" s="261" t="n"/>
      <c r="Y294" s="261" t="n"/>
      <c r="Z294" s="253" t="n"/>
      <c r="AB294" s="254" t="n"/>
    </row>
    <row r="295" ht="14" customFormat="1" customHeight="1" s="252">
      <c r="A295" s="237" t="n"/>
      <c r="B295" s="237" t="n"/>
      <c r="C295" s="239" t="n"/>
      <c r="D295" s="237" t="n"/>
      <c r="E295" s="237" t="n"/>
      <c r="F295" s="237" t="n"/>
      <c r="G295" s="237" t="n"/>
      <c r="O295" s="260" t="n"/>
      <c r="P295" s="261" t="n"/>
      <c r="Q295" s="261" t="n"/>
      <c r="R295" s="261" t="n"/>
      <c r="S295" s="261" t="n"/>
      <c r="T295" s="261" t="n"/>
      <c r="U295" s="261" t="n"/>
      <c r="V295" s="261" t="n"/>
      <c r="W295" s="261" t="n"/>
      <c r="X295" s="261" t="n"/>
      <c r="Y295" s="261" t="n"/>
      <c r="Z295" s="253" t="n"/>
      <c r="AB295" s="254" t="n"/>
    </row>
    <row r="296" ht="14" customFormat="1" customHeight="1" s="252">
      <c r="A296" s="237" t="n"/>
      <c r="B296" s="237" t="n"/>
      <c r="C296" s="239" t="n"/>
      <c r="D296" s="237" t="n"/>
      <c r="E296" s="237" t="n"/>
      <c r="F296" s="237" t="n"/>
      <c r="G296" s="237" t="n"/>
      <c r="O296" s="260" t="n"/>
      <c r="P296" s="261" t="n"/>
      <c r="Q296" s="261" t="n"/>
      <c r="R296" s="261" t="n"/>
      <c r="S296" s="261" t="n"/>
      <c r="T296" s="261" t="n"/>
      <c r="U296" s="261" t="n"/>
      <c r="V296" s="261" t="n"/>
      <c r="W296" s="261" t="n"/>
      <c r="X296" s="261" t="n"/>
      <c r="Y296" s="261" t="n"/>
      <c r="Z296" s="253" t="n"/>
      <c r="AB296" s="254" t="n"/>
    </row>
    <row r="297" ht="14" customFormat="1" customHeight="1" s="252">
      <c r="A297" s="237" t="n"/>
      <c r="B297" s="237" t="n"/>
      <c r="C297" s="239" t="n"/>
      <c r="D297" s="237" t="n"/>
      <c r="E297" s="237" t="n"/>
      <c r="F297" s="237" t="n"/>
      <c r="G297" s="237" t="n"/>
      <c r="O297" s="260" t="n"/>
      <c r="P297" s="261" t="n"/>
      <c r="Q297" s="261" t="n"/>
      <c r="R297" s="261" t="n"/>
      <c r="S297" s="261" t="n"/>
      <c r="T297" s="261" t="n"/>
      <c r="U297" s="261" t="n"/>
      <c r="V297" s="261" t="n"/>
      <c r="W297" s="261" t="n"/>
      <c r="X297" s="261" t="n"/>
      <c r="Y297" s="261" t="n"/>
      <c r="Z297" s="253" t="n"/>
      <c r="AB297" s="262" t="n"/>
    </row>
    <row r="298" ht="14" customFormat="1" customHeight="1" s="252">
      <c r="A298" s="237" t="n"/>
      <c r="B298" s="237" t="n"/>
      <c r="C298" s="239" t="n"/>
      <c r="D298" s="237" t="n"/>
      <c r="E298" s="237" t="n"/>
      <c r="F298" s="237" t="n"/>
      <c r="G298" s="237" t="n"/>
      <c r="O298" s="260" t="n"/>
      <c r="P298" s="261" t="n"/>
      <c r="Q298" s="261" t="n"/>
      <c r="R298" s="261" t="n"/>
      <c r="S298" s="261" t="n"/>
      <c r="T298" s="261" t="n"/>
      <c r="U298" s="261" t="n"/>
      <c r="V298" s="261" t="n"/>
      <c r="W298" s="261" t="n"/>
      <c r="X298" s="261" t="n"/>
      <c r="Y298" s="261" t="n"/>
      <c r="Z298" s="253" t="n"/>
      <c r="AB298" s="254" t="n"/>
    </row>
    <row r="299" ht="14" customFormat="1" customHeight="1" s="252">
      <c r="A299" s="237" t="n"/>
      <c r="B299" s="237" t="n"/>
      <c r="C299" s="239" t="n"/>
      <c r="D299" s="237" t="n"/>
      <c r="E299" s="237" t="n"/>
      <c r="F299" s="237" t="n"/>
      <c r="G299" s="237" t="n"/>
      <c r="O299" s="260" t="n"/>
      <c r="P299" s="261" t="n"/>
      <c r="Q299" s="261" t="n"/>
      <c r="R299" s="261" t="n"/>
      <c r="S299" s="261" t="n"/>
      <c r="T299" s="261" t="n"/>
      <c r="U299" s="261" t="n"/>
      <c r="V299" s="261" t="n"/>
      <c r="W299" s="261" t="n"/>
      <c r="X299" s="261" t="n"/>
      <c r="Y299" s="261" t="n"/>
      <c r="Z299" s="253" t="n"/>
      <c r="AB299" s="254" t="n"/>
    </row>
    <row r="300" ht="14" customFormat="1" customHeight="1" s="252">
      <c r="A300" s="237" t="n"/>
      <c r="B300" s="237" t="n"/>
      <c r="C300" s="239" t="n"/>
      <c r="D300" s="237" t="n"/>
      <c r="E300" s="237" t="n"/>
      <c r="F300" s="237" t="n"/>
      <c r="G300" s="237" t="n"/>
      <c r="O300" s="260" t="n"/>
      <c r="P300" s="261" t="n"/>
      <c r="Q300" s="261" t="n"/>
      <c r="R300" s="261" t="n"/>
      <c r="S300" s="261" t="n"/>
      <c r="T300" s="261" t="n"/>
      <c r="U300" s="261" t="n"/>
      <c r="V300" s="261" t="n"/>
      <c r="W300" s="261" t="n"/>
      <c r="X300" s="261" t="n"/>
      <c r="Y300" s="261" t="n"/>
      <c r="Z300" s="253" t="n"/>
      <c r="AB300" s="254" t="n"/>
    </row>
    <row r="301" ht="14" customFormat="1" customHeight="1" s="252">
      <c r="A301" s="237" t="n"/>
      <c r="B301" s="237" t="n"/>
      <c r="C301" s="239" t="n"/>
      <c r="D301" s="237" t="n"/>
      <c r="E301" s="237" t="n"/>
      <c r="F301" s="237" t="n"/>
      <c r="G301" s="237" t="n"/>
      <c r="O301" s="260" t="n"/>
      <c r="P301" s="261" t="n"/>
      <c r="Q301" s="261" t="n"/>
      <c r="R301" s="261" t="n"/>
      <c r="S301" s="261" t="n"/>
      <c r="T301" s="261" t="n"/>
      <c r="U301" s="261" t="n"/>
      <c r="V301" s="261" t="n"/>
      <c r="W301" s="261" t="n"/>
      <c r="X301" s="261" t="n"/>
      <c r="Y301" s="261" t="n"/>
      <c r="Z301" s="253" t="n"/>
      <c r="AB301" s="254" t="n"/>
    </row>
    <row r="302" ht="14" customFormat="1" customHeight="1" s="252">
      <c r="A302" s="237" t="n"/>
      <c r="B302" s="237" t="n"/>
      <c r="C302" s="239" t="n"/>
      <c r="D302" s="237" t="n"/>
      <c r="E302" s="237" t="n"/>
      <c r="F302" s="237" t="n"/>
      <c r="G302" s="237" t="n"/>
      <c r="O302" s="260" t="n"/>
      <c r="P302" s="261" t="n"/>
      <c r="Q302" s="261" t="n"/>
      <c r="R302" s="261" t="n"/>
      <c r="S302" s="261" t="n"/>
      <c r="T302" s="261" t="n"/>
      <c r="U302" s="261" t="n"/>
      <c r="V302" s="261" t="n"/>
      <c r="W302" s="261" t="n"/>
      <c r="X302" s="261" t="n"/>
      <c r="Y302" s="261" t="n"/>
      <c r="Z302" s="253" t="n"/>
      <c r="AB302" s="254" t="n"/>
    </row>
    <row r="303" ht="14" customFormat="1" customHeight="1" s="252">
      <c r="A303" s="237" t="n"/>
      <c r="B303" s="237" t="n"/>
      <c r="C303" s="239" t="n"/>
      <c r="D303" s="237" t="n"/>
      <c r="E303" s="237" t="n"/>
      <c r="F303" s="237" t="n"/>
      <c r="G303" s="237" t="n"/>
      <c r="O303" s="260" t="n"/>
      <c r="P303" s="261" t="n"/>
      <c r="Q303" s="261" t="n"/>
      <c r="R303" s="261" t="n"/>
      <c r="S303" s="261" t="n"/>
      <c r="T303" s="261" t="n"/>
      <c r="U303" s="261" t="n"/>
      <c r="V303" s="261" t="n"/>
      <c r="W303" s="261" t="n"/>
      <c r="X303" s="261" t="n"/>
      <c r="Y303" s="261" t="n"/>
      <c r="Z303" s="253" t="n"/>
      <c r="AB303" s="262" t="n"/>
    </row>
    <row r="304" ht="14" customFormat="1" customHeight="1" s="252">
      <c r="A304" s="237" t="n"/>
      <c r="B304" s="237" t="n"/>
      <c r="C304" s="239" t="n"/>
      <c r="D304" s="237" t="n"/>
      <c r="E304" s="237" t="n"/>
      <c r="F304" s="237" t="n"/>
      <c r="G304" s="237" t="n"/>
      <c r="O304" s="260" t="n"/>
      <c r="P304" s="261" t="n"/>
      <c r="Q304" s="261" t="n"/>
      <c r="R304" s="261" t="n"/>
      <c r="S304" s="261" t="n"/>
      <c r="T304" s="261" t="n"/>
      <c r="U304" s="261" t="n"/>
      <c r="V304" s="261" t="n"/>
      <c r="W304" s="261" t="n"/>
      <c r="X304" s="261" t="n"/>
      <c r="Y304" s="261" t="n"/>
      <c r="Z304" s="253" t="n"/>
      <c r="AB304" s="254" t="n"/>
    </row>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sheetData>
  <mergeCells count="2">
    <mergeCell ref="P7:S7"/>
    <mergeCell ref="J7:O7"/>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42"/>
  <sheetViews>
    <sheetView workbookViewId="0">
      <selection activeCell="A1" sqref="A1:XFD1048576"/>
    </sheetView>
  </sheetViews>
  <sheetFormatPr baseColWidth="8" defaultColWidth="9.1796875" defaultRowHeight="15.5"/>
  <cols>
    <col width="91.7265625" customWidth="1" style="270" min="1" max="1"/>
    <col width="9.1796875" customWidth="1" style="271" min="2" max="16384"/>
  </cols>
  <sheetData>
    <row r="1">
      <c r="A1" s="270" t="inlineStr">
        <is>
          <t> </t>
        </is>
      </c>
    </row>
    <row r="9">
      <c r="A9" s="272" t="inlineStr">
        <is>
          <t>ASIA PACIFIC – RECHARGE POLICY</t>
        </is>
      </c>
    </row>
    <row r="10" ht="10" customFormat="1" customHeight="1" s="274">
      <c r="A10" s="273" t="n"/>
    </row>
    <row r="11" customFormat="1" s="270">
      <c r="A11" s="275" t="inlineStr">
        <is>
          <t>AUGUST 2004</t>
        </is>
      </c>
    </row>
    <row r="12" customFormat="1" s="270"/>
    <row r="13" customFormat="1" s="270">
      <c r="A13" s="276" t="inlineStr">
        <is>
          <t>Purpose</t>
        </is>
      </c>
    </row>
    <row r="14" ht="31" customFormat="1" customHeight="1" s="270">
      <c r="A14" s="270" t="inlineStr">
        <is>
          <t>This recharge policy is for those who have invoices to be paid by Asia Pacific corporate office but the costs belongs to:</t>
        </is>
      </c>
    </row>
    <row r="15" customFormat="1" s="270">
      <c r="A15" s="277" t="inlineStr">
        <is>
          <t>*  Hotels</t>
        </is>
      </c>
    </row>
    <row r="16" customFormat="1" s="270">
      <c r="A16" s="277" t="inlineStr">
        <is>
          <t>*  Inter-Region Offices</t>
        </is>
      </c>
    </row>
    <row r="17" customFormat="1" s="270">
      <c r="A17" s="277" t="inlineStr">
        <is>
          <t>*  Asia Pacific Satellite Offices</t>
        </is>
      </c>
    </row>
    <row r="18" customFormat="1" s="270"/>
    <row r="19" customFormat="1" s="270">
      <c r="A19" s="276" t="inlineStr">
        <is>
          <t>Policy</t>
        </is>
      </c>
    </row>
    <row r="20" customFormat="1" s="270">
      <c r="A20" s="278" t="inlineStr">
        <is>
          <t>The minimum recharge is US$200 (or foreign currency equivalent)</t>
        </is>
      </c>
    </row>
    <row r="21" customFormat="1" s="270">
      <c r="A21" s="278" t="n"/>
    </row>
    <row r="22" ht="46.5" customFormat="1" customHeight="1" s="280">
      <c r="A22" s="279" t="inlineStr">
        <is>
          <t>While invoices are approved online via PeopleSoft P2P workflow or Onecard, all recharges are to be coded to account 690850 (Recoveries Account) in the department that initiates the charge.</t>
        </is>
      </c>
    </row>
    <row r="23" customFormat="1" s="270">
      <c r="A23" s="278" t="n"/>
    </row>
    <row r="24" ht="31" customFormat="1" customHeight="1" s="270">
      <c r="A24" s="278" t="inlineStr">
        <is>
          <t>Before any recharges will be processed, the following documents are required and to be faxed or email to the contact below:</t>
        </is>
      </c>
    </row>
    <row r="25" customFormat="1" s="280">
      <c r="A25" s="277" t="inlineStr">
        <is>
          <t>1.  (a) copy of invoice - workflow  (For Inter-region recharge only)</t>
        </is>
      </c>
    </row>
    <row r="26" customFormat="1" s="280">
      <c r="A26" s="277" t="inlineStr">
        <is>
          <t xml:space="preserve"> or (b) copy of statement  - Onecard  (For Inter-region recharge only)</t>
        </is>
      </c>
    </row>
    <row r="27" customFormat="1" s="280">
      <c r="A27" s="277" t="inlineStr">
        <is>
          <t>2. Completed RIR form</t>
        </is>
      </c>
    </row>
    <row r="28" customFormat="1" s="280">
      <c r="A28" s="277" t="inlineStr">
        <is>
          <t>3. Purchase Order Number or Letter of Agreement from recipient</t>
        </is>
      </c>
    </row>
    <row r="29" customFormat="1" s="270">
      <c r="A29" s="278" t="n"/>
    </row>
    <row r="30" ht="31" customFormat="1" customHeight="1" s="270">
      <c r="A30" s="278" t="inlineStr">
        <is>
          <t>As per the "Global MISC Recharge Policy", a Purchase Order Number or a Letter of Agreement must be obtained from the Hotel or Department you are charging.</t>
        </is>
      </c>
    </row>
    <row r="31" customFormat="1" s="270">
      <c r="A31" s="278" t="n"/>
    </row>
    <row r="32" customFormat="1" s="270">
      <c r="A32" s="278" t="inlineStr">
        <is>
          <t>If any of the above documents are incomplete, it will be sent back to the initiator.</t>
        </is>
      </c>
    </row>
    <row r="33" customFormat="1" s="270">
      <c r="A33" s="278" t="n"/>
    </row>
    <row r="34" ht="31" customFormat="1" customHeight="1" s="280">
      <c r="A34" s="278" t="inlineStr">
        <is>
          <t>Note: if at the end of each Quarter, the amount charged is deemed unrecoverable, the charge will be written back to the initiators department.</t>
        </is>
      </c>
    </row>
    <row r="35" customFormat="1" s="270">
      <c r="A35" s="278" t="n"/>
    </row>
    <row r="36" customFormat="1" s="280">
      <c r="A36" s="278" t="n"/>
    </row>
    <row r="37" customFormat="1" s="280">
      <c r="A37" s="281" t="inlineStr">
        <is>
          <t>Recharge Contact Details:</t>
        </is>
      </c>
    </row>
    <row r="38" ht="10.5" customFormat="1" customHeight="1" s="283">
      <c r="A38" s="282" t="n"/>
    </row>
    <row r="39" customFormat="1" s="280">
      <c r="A39" s="278" t="inlineStr">
        <is>
          <t>Asia.Remit: Asia.remit@ichotelsgroup.com</t>
        </is>
      </c>
    </row>
    <row r="40" customFormat="1" s="280">
      <c r="A40" s="278" t="inlineStr">
        <is>
          <t>Fax No:     +61 2 9926 9755</t>
        </is>
      </c>
    </row>
    <row r="41" customFormat="1" s="280">
      <c r="A41" s="278" t="n"/>
    </row>
    <row r="42" ht="26" customFormat="1" customHeight="1" s="280">
      <c r="A42" s="284">
        <f>CELL("filename")</f>
        <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6:B77"/>
  <sheetViews>
    <sheetView workbookViewId="0">
      <selection activeCell="A8" sqref="A8"/>
    </sheetView>
  </sheetViews>
  <sheetFormatPr baseColWidth="8" defaultColWidth="9.1796875" defaultRowHeight="15.5"/>
  <cols>
    <col width="91.7265625" customWidth="1" style="270" min="1" max="1"/>
    <col width="9.1796875" customWidth="1" style="271" min="2" max="16384"/>
  </cols>
  <sheetData>
    <row r="6" ht="18" customHeight="1">
      <c r="A6" s="285" t="inlineStr">
        <is>
          <t>Miscellaneous Hotel Billing Policy</t>
        </is>
      </c>
    </row>
    <row r="8">
      <c r="A8" s="286" t="inlineStr">
        <is>
          <t>Policy Owner: Chairperson of Global AR/BI Steering Committee</t>
        </is>
      </c>
      <c r="B8" s="287" t="inlineStr">
        <is>
          <t> </t>
        </is>
      </c>
    </row>
    <row r="9">
      <c r="A9" s="286" t="inlineStr">
        <is>
          <t xml:space="preserve">Policy Number:    </t>
        </is>
      </c>
      <c r="B9" s="287" t="n"/>
    </row>
    <row r="10">
      <c r="A10" s="286" t="inlineStr">
        <is>
          <t>Area: A/R, Billing, and Credit Dept.</t>
        </is>
      </c>
      <c r="B10" s="287" t="n"/>
    </row>
    <row r="11">
      <c r="A11" s="286" t="inlineStr">
        <is>
          <t>Approved By: Ralph Wheeler</t>
        </is>
      </c>
      <c r="B11" s="287" t="n"/>
    </row>
    <row r="12">
      <c r="A12" s="286" t="inlineStr">
        <is>
          <t>Effective Date: 25 October 2002</t>
        </is>
      </c>
      <c r="B12" s="287" t="n"/>
    </row>
    <row r="13">
      <c r="A13" s="286" t="inlineStr">
        <is>
          <t xml:space="preserve">Revision Date: 25 October 2002 </t>
        </is>
      </c>
      <c r="B13" s="287" t="n"/>
    </row>
    <row r="15" customFormat="1" s="270">
      <c r="A15" s="276" t="inlineStr">
        <is>
          <t>Policy:</t>
        </is>
      </c>
    </row>
    <row r="16" ht="46.5" customFormat="1" customHeight="1" s="270">
      <c r="A16" s="270" t="inlineStr">
        <is>
          <t>Miscellaneous Hotel Billings will be initiated utilizing standard forms and processes.  It is the Originators’ responsibility to ensure that hotels have agreed in writing or through contract to accept charges before invoices are requested and that adequat</t>
        </is>
      </c>
    </row>
    <row r="17" customFormat="1" s="270"/>
    <row r="18" customFormat="1" s="270">
      <c r="A18" s="276" t="inlineStr">
        <is>
          <t>Purpose of Policy:</t>
        </is>
      </c>
    </row>
    <row r="19" ht="46.5" customFormat="1" customHeight="1" s="270">
      <c r="A19" s="270" t="inlineStr">
        <is>
          <t>To ensure consistent accounting practice and efficiency of billing and collection for a global A/R system with regional operations.  Examples of miscellaneous items include but are not limited to: Mystery Shopper, BTA, Directory Costs, Caps costs, Priorit</t>
        </is>
      </c>
    </row>
    <row r="20" customFormat="1" s="270"/>
    <row r="21" customFormat="1" s="270">
      <c r="A21" s="276" t="inlineStr">
        <is>
          <t>Procedures:</t>
        </is>
      </c>
    </row>
    <row r="22" customFormat="1" s="270">
      <c r="A22" s="270" t="inlineStr">
        <is>
          <t>Consult regional billing departments for details.</t>
        </is>
      </c>
    </row>
    <row r="23" customFormat="1" s="270"/>
    <row r="24" ht="46.5" customFormat="1" customHeight="1" s="270">
      <c r="A24" s="270" t="inlineStr">
        <is>
          <t>1. Originators must complete a “Miscellaneous Hotel Invoice Request” form (Business Support or Accounting can assist) to be submitted to your billing department.  Sufficient explanation for collectors must be included.</t>
        </is>
      </c>
    </row>
    <row r="25" customFormat="1" s="270"/>
    <row r="26" ht="46.5" customFormat="1" customHeight="1" s="270">
      <c r="A26" s="270" t="inlineStr">
        <is>
          <t>2. For bulk invoicing (numerous invoices related to the same activity), a Peoplesoft Billing Miscellaneous Spreadsheet should be completed in lieu of the Miscellaneous Hotel Invoice Request form.</t>
        </is>
      </c>
    </row>
    <row r="27" customFormat="1" s="270"/>
    <row r="28" ht="46.5" customFormat="1" customHeight="1" s="270">
      <c r="A28" s="270" t="inlineStr">
        <is>
          <t>3. The originator must obtain a signed “Miscellaneous Hotel Billing Letter of Agreement” if there is no contractual obligation or other signed agreement.  The charge should be properly communicated to the hotel.</t>
        </is>
      </c>
    </row>
    <row r="29" customFormat="1" s="270"/>
    <row r="30" ht="46.5" customFormat="1" customHeight="1" s="270">
      <c r="A30" s="270" t="inlineStr">
        <is>
          <t xml:space="preserve">4. If the charge is crossing regions, an inter-company invoice is to be created on Peoplesoft billing by the Inter-company accountant using the appropriate inter-company customer.  The Originator must supply all support to the inter-company accountant as </t>
        </is>
      </c>
    </row>
    <row r="31" customFormat="1" s="270"/>
    <row r="32" ht="31" customFormat="1" customHeight="1" s="270">
      <c r="A32" s="270" t="inlineStr">
        <is>
          <t>5. Charges under $100, or equivalent foreign currency, are considered immaterial and should not be billed unless they meet the following conditions:</t>
        </is>
      </c>
    </row>
    <row r="33" customFormat="1" s="270">
      <c r="A33" s="270" t="inlineStr">
        <is>
          <t> They are required for statutory or tax reasons</t>
        </is>
      </c>
    </row>
    <row r="34" customFormat="1" s="270">
      <c r="A34" s="270" t="inlineStr">
        <is>
          <t> There are numerous transactions which are material in the aggregate.</t>
        </is>
      </c>
    </row>
    <row r="35" customFormat="1" s="270"/>
    <row r="36" customFormat="1" s="270">
      <c r="A36" s="276" t="inlineStr">
        <is>
          <t>Accounting Instructions:</t>
        </is>
      </c>
    </row>
    <row r="37" customFormat="1" s="270">
      <c r="A37" s="270" t="inlineStr">
        <is>
          <t>Not applicable</t>
        </is>
      </c>
    </row>
    <row r="38" customFormat="1" s="270"/>
    <row r="39" customFormat="1" s="270">
      <c r="A39" s="276" t="inlineStr">
        <is>
          <t>Disclosure Instructions:</t>
        </is>
      </c>
    </row>
    <row r="40" customFormat="1" s="270">
      <c r="A40" s="270" t="inlineStr">
        <is>
          <t>Not applicable</t>
        </is>
      </c>
    </row>
    <row r="41" customFormat="1" s="270"/>
    <row r="42" customFormat="1" s="270">
      <c r="A42" s="276" t="inlineStr">
        <is>
          <t>References:</t>
        </is>
      </c>
    </row>
    <row r="43" customFormat="1" s="270">
      <c r="A43" s="270" t="inlineStr">
        <is>
          <t>See regional billing and collection procedures</t>
        </is>
      </c>
    </row>
    <row r="44" customFormat="1" s="270"/>
    <row r="45" customFormat="1" s="270">
      <c r="A45" s="276" t="inlineStr">
        <is>
          <t>Associated Materials:</t>
        </is>
      </c>
    </row>
    <row r="46" customFormat="1" s="270">
      <c r="A46" s="270" t="inlineStr">
        <is>
          <t xml:space="preserve">Miscellaneous Hotel Invoice Request </t>
        </is>
      </c>
    </row>
    <row r="47" customFormat="1" s="270">
      <c r="A47" s="270" t="inlineStr">
        <is>
          <t>Peoplesoft Upload Worksheet</t>
        </is>
      </c>
    </row>
    <row r="48" customFormat="1" s="270">
      <c r="A48" s="270" t="inlineStr">
        <is>
          <t>Miscellaneous Hotel Billing Letter of Agreement</t>
        </is>
      </c>
    </row>
    <row r="49" customFormat="1" s="270"/>
    <row r="50" customFormat="1" s="270"/>
    <row r="51" ht="17.5" customFormat="1" customHeight="1" s="270">
      <c r="A51" s="288" t="n"/>
    </row>
    <row r="52" ht="18" customFormat="1" customHeight="1" s="270">
      <c r="A52" s="285" t="inlineStr">
        <is>
          <t>MISCELLANEOUS HOTEL BILLING</t>
        </is>
      </c>
    </row>
    <row r="53" ht="18" customFormat="1" customHeight="1" s="270">
      <c r="A53" s="285" t="inlineStr">
        <is>
          <t>LETTER OF AGREEMENT</t>
        </is>
      </c>
    </row>
    <row r="54" ht="17.5" customFormat="1" customHeight="1" s="270">
      <c r="A54" s="288" t="n"/>
    </row>
    <row r="55" ht="17.5" customFormat="1" customHeight="1" s="270">
      <c r="A55" s="289" t="n"/>
    </row>
    <row r="56" ht="17.5" customFormat="1" customHeight="1" s="270">
      <c r="A56" s="289" t="n"/>
    </row>
    <row r="57" ht="24" customFormat="1" customHeight="1" s="270">
      <c r="A57" s="290" t="inlineStr">
        <is>
          <t>_______________________________________________________</t>
        </is>
      </c>
    </row>
    <row r="58" ht="24" customFormat="1" customHeight="1" s="270">
      <c r="A58" s="290" t="inlineStr">
        <is>
          <t>_______________________________________________________</t>
        </is>
      </c>
    </row>
    <row r="59" ht="24" customFormat="1" customHeight="1" s="270">
      <c r="A59" s="290" t="inlineStr">
        <is>
          <t xml:space="preserve"> Description of charge</t>
        </is>
      </c>
    </row>
    <row r="60" ht="24" customFormat="1" customHeight="1" s="270">
      <c r="A60" s="289" t="n"/>
    </row>
    <row r="61" ht="24" customFormat="1" customHeight="1" s="270">
      <c r="A61" s="289" t="inlineStr">
        <is>
          <t>To be returned by  ___/____/____</t>
        </is>
      </c>
    </row>
    <row r="62" ht="24" customFormat="1" customHeight="1" s="270">
      <c r="A62" s="289" t="n"/>
    </row>
    <row r="63" ht="24" customFormat="1" customHeight="1" s="270">
      <c r="A63" s="289" t="n"/>
    </row>
    <row r="64" ht="24" customFormat="1" customHeight="1" s="270">
      <c r="A64" s="289" t="inlineStr">
        <is>
          <t>To be returned to: _________________      _____________________</t>
        </is>
      </c>
    </row>
    <row r="65" ht="24" customFormat="1" customHeight="1" s="270">
      <c r="A65" s="289" t="inlineStr">
        <is>
          <t xml:space="preserve">                                        Name                                   Department</t>
        </is>
      </c>
    </row>
    <row r="66" ht="24" customFormat="1" customHeight="1" s="270">
      <c r="A66" s="289" t="n"/>
    </row>
    <row r="67" ht="24" customFormat="1" customHeight="1" s="270">
      <c r="A67" s="289" t="inlineStr">
        <is>
          <t>Approved by:  __________________        ______________________</t>
        </is>
      </c>
    </row>
    <row r="68" ht="24" customFormat="1" customHeight="1" s="270">
      <c r="A68" s="289" t="inlineStr">
        <is>
          <t xml:space="preserve">                                Printed Name                               Hotel</t>
        </is>
      </c>
    </row>
    <row r="69" ht="24" customFormat="1" customHeight="1" s="270">
      <c r="A69" s="289" t="n"/>
    </row>
    <row r="70" ht="24" customFormat="1" customHeight="1" s="270">
      <c r="A70" s="289" t="inlineStr">
        <is>
          <t>Signature: _______________ Title: ______________Date:_________</t>
        </is>
      </c>
    </row>
    <row r="71" ht="24" customFormat="1" customHeight="1" s="270">
      <c r="A71" s="289" t="n"/>
    </row>
    <row r="72" ht="24" customFormat="1" customHeight="1" s="270">
      <c r="A72" s="289" t="inlineStr">
        <is>
          <t xml:space="preserve">           YES, we agree to the proposed charge.</t>
        </is>
      </c>
    </row>
    <row r="73" ht="24" customFormat="1" customHeight="1" s="270">
      <c r="A73" s="289" t="inlineStr">
        <is>
          <t>            </t>
        </is>
      </c>
    </row>
    <row r="74" ht="24" customFormat="1" customHeight="1" s="270">
      <c r="A74" s="289" t="n"/>
    </row>
    <row r="75" ht="24" customFormat="1" customHeight="1" s="270">
      <c r="A75" s="289" t="inlineStr">
        <is>
          <t>        </t>
        </is>
      </c>
    </row>
    <row r="76" ht="24" customFormat="1" customHeight="1" s="270">
      <c r="A76" s="289" t="inlineStr">
        <is>
          <t>Amount being billed: ________________</t>
        </is>
      </c>
    </row>
    <row r="77" ht="24" customFormat="1" customHeight="1" s="270">
      <c r="A77" s="291" t="n"/>
    </row>
    <row r="78" ht="24" customFormat="1" customHeight="1" s="270"/>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Afreen, Aamna</dc:creator>
  <dcterms:created xsi:type="dcterms:W3CDTF">2026-02-25T10:34:09Z</dcterms:created>
  <dcterms:modified xsi:type="dcterms:W3CDTF">2026-04-24T09:07:41Z</dcterms:modified>
  <cp:lastModifiedBy>Afreen, Aamna</cp:lastModifiedBy>
</cp:coreProperties>
</file>